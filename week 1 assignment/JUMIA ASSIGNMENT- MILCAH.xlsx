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end\Downloads\"/>
    </mc:Choice>
  </mc:AlternateContent>
  <xr:revisionPtr revIDLastSave="0" documentId="13_ncr:1_{25CFACD7-F81E-4851-AE47-5ADF79075B98}" xr6:coauthVersionLast="36" xr6:coauthVersionMax="47" xr10:uidLastSave="{00000000-0000-0000-0000-000000000000}"/>
  <bookViews>
    <workbookView xWindow="0" yWindow="0" windowWidth="23040" windowHeight="9300" firstSheet="7" activeTab="12" xr2:uid="{1BBAB089-3BF9-4EB3-8C6E-AA62F13EA5C0}"/>
  </bookViews>
  <sheets>
    <sheet name="ORIGINAL DATA" sheetId="1" r:id="rId1"/>
    <sheet name="CLEAN DATA" sheetId="2" r:id="rId2"/>
    <sheet name="AVG(DISC,OLD, NEW, PRICE)" sheetId="4" r:id="rId3"/>
    <sheet name="LEAST, MOST EXP" sheetId="6" r:id="rId4"/>
    <sheet name="AVG RATING, DISC, DISC CAT" sheetId="7" r:id="rId5"/>
    <sheet name="PROD, RAT CAT" sheetId="8" r:id="rId6"/>
    <sheet name="DISC VS REVIEW" sheetId="11" r:id="rId7"/>
    <sheet name="RATING VS REVIEWS" sheetId="14" r:id="rId8"/>
    <sheet name="TOP 10 DISC" sheetId="15" r:id="rId9"/>
    <sheet name="TOP 10 REVIEWS" sheetId="16" r:id="rId10"/>
    <sheet name="TOP 5 RATING" sheetId="18" r:id="rId11"/>
    <sheet name="BOTTOM RATING" sheetId="19" r:id="rId12"/>
    <sheet name="DISC-RAT,REV" sheetId="20" r:id="rId13"/>
    <sheet name="DASHBOARD" sheetId="22" r:id="rId14"/>
  </sheets>
  <definedNames>
    <definedName name="_xlnm._FilterDatabase" localSheetId="1" hidden="1">'CLEAN DATA'!$A$1:$G$117</definedName>
  </definedNames>
  <calcPr calcId="191029" iterateDelta="1E-4"/>
  <pivotCaches>
    <pivotCache cacheId="0" r:id="rId15"/>
  </pivotCaches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2" i="2"/>
</calcChain>
</file>

<file path=xl/sharedStrings.xml><?xml version="1.0" encoding="utf-8"?>
<sst xmlns="http://schemas.openxmlformats.org/spreadsheetml/2006/main" count="945" uniqueCount="366">
  <si>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</si>
  <si>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</si>
  <si>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</si>
  <si>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</si>
  <si>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</si>
  <si>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</si>
  <si>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</si>
  <si>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</si>
  <si>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</si>
  <si>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</si>
  <si>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</si>
  <si>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</si>
  <si>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</si>
  <si>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</si>
  <si>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</si>
  <si>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</si>
  <si>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</si>
  <si>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</si>
  <si>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</si>
  <si>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</si>
  <si>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</si>
  <si>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</si>
  <si>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</si>
  <si>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</si>
  <si>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</si>
  <si>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</si>
  <si>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</si>
  <si>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</si>
  <si>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</si>
  <si>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</si>
  <si>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</si>
  <si>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</si>
  <si>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</si>
  <si>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</si>
  <si>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</si>
  <si>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</si>
  <si>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</si>
  <si>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</si>
  <si>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</si>
  <si>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</si>
  <si>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</si>
  <si>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</si>
  <si>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</si>
  <si>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</si>
  <si>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</si>
  <si>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</si>
  <si>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</si>
  <si>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</si>
  <si>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</si>
  <si>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</si>
  <si>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</si>
  <si>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</si>
  <si>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</si>
  <si>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</si>
  <si>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</si>
  <si>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</si>
  <si>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</si>
  <si>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</si>
  <si>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</si>
  <si>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</si>
  <si>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</si>
  <si>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</si>
  <si>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</si>
  <si>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</si>
  <si>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</si>
  <si>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</si>
  <si>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</si>
  <si>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</si>
  <si>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</si>
  <si>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</si>
  <si>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</si>
  <si>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</si>
  <si>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</si>
  <si>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</si>
  <si>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</si>
  <si>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</si>
  <si>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</si>
  <si>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</si>
  <si>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</si>
  <si>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</si>
  <si>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</si>
  <si>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</si>
  <si>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</si>
  <si>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</si>
  <si>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</si>
  <si>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</si>
  <si>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</si>
  <si>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</si>
  <si>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</si>
  <si>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</si>
  <si>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</si>
  <si>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</si>
  <si>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</si>
  <si>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</si>
  <si>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</si>
  <si>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</si>
  <si>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</si>
  <si>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</si>
  <si>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</si>
  <si>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</si>
  <si>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</si>
  <si>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</si>
  <si>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</si>
  <si>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</si>
  <si>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</si>
  <si>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</si>
  <si>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</si>
  <si>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</si>
  <si>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</si>
  <si>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</si>
  <si>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</si>
  <si>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</si>
  <si>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</si>
  <si>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</si>
  <si>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</si>
  <si>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</si>
  <si>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</si>
  <si>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</si>
  <si>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</si>
  <si>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</si>
  <si>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</si>
  <si>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</si>
  <si>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</si>
  <si>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</si>
  <si>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</si>
  <si>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</si>
  <si>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</si>
  <si>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</si>
  <si>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</si>
  <si>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</si>
  <si>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</si>
  <si>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</si>
  <si>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</si>
  <si>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</si>
  <si>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</si>
  <si>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</si>
  <si>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</si>
  <si>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</si>
  <si>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</si>
  <si>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</si>
  <si>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</si>
  <si>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</si>
  <si>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</si>
  <si>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</si>
  <si>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</si>
  <si>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</si>
  <si>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</si>
  <si>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</si>
  <si>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</si>
  <si>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</si>
  <si>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</si>
  <si>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</si>
  <si>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</si>
  <si>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</si>
  <si>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</si>
  <si>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</si>
  <si>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</si>
  <si>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</si>
  <si>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</si>
  <si>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</si>
  <si>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</si>
  <si>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</si>
  <si>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</si>
  <si>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</si>
  <si>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</si>
  <si>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</si>
  <si>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</si>
  <si>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</si>
  <si>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</si>
  <si>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</si>
  <si>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</si>
  <si>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</si>
  <si>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</si>
  <si>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</si>
  <si>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</si>
  <si>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</si>
  <si>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</si>
  <si>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</si>
  <si>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</si>
  <si>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</si>
  <si>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</si>
  <si>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</si>
  <si>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</si>
  <si>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</si>
  <si>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</si>
  <si>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</si>
  <si>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</si>
  <si>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</si>
  <si>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</si>
  <si>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</si>
  <si>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</si>
  <si>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</si>
  <si>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</si>
  <si>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</si>
  <si>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</si>
  <si>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</si>
  <si>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</si>
  <si>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</si>
  <si>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</si>
  <si>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</si>
  <si>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</si>
  <si>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</si>
  <si>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</si>
  <si>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</si>
  <si>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</si>
  <si>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</si>
  <si>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</si>
  <si>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</si>
  <si>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</si>
  <si>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</si>
  <si>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</si>
  <si>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</si>
  <si>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</si>
  <si>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</si>
  <si>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</si>
  <si>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</si>
  <si>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</si>
  <si>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</si>
  <si>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</si>
  <si>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</si>
  <si>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</si>
  <si>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</si>
  <si>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</si>
  <si>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</si>
  <si>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</si>
  <si>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</si>
  <si>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</si>
  <si>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</si>
  <si>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</si>
  <si>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</si>
  <si>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</si>
  <si>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</si>
  <si>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</si>
  <si>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</si>
  <si>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</si>
  <si>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</si>
  <si>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</si>
  <si>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</si>
  <si>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</si>
  <si>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</si>
  <si>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</si>
  <si>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</si>
  <si>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</si>
  <si>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</si>
  <si>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</si>
  <si>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</si>
  <si>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</si>
  <si>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</si>
  <si>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</si>
  <si>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</si>
  <si>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</si>
  <si>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Gloves.32â„‰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</si>
  <si>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</si>
  <si>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</si>
  <si>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</si>
  <si>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</si>
  <si>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</si>
  <si>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</si>
  <si>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</si>
  <si>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</si>
  <si>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</si>
  <si>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</si>
  <si>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</si>
  <si>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</si>
  <si>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</si>
  <si>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</si>
  <si>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</si>
  <si>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</si>
  <si>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</si>
  <si>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</si>
  <si>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</si>
  <si>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</si>
  <si>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</si>
  <si>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</si>
  <si>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</si>
  <si>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</si>
  <si>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</si>
  <si>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</si>
  <si>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</si>
  <si>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</si>
  <si>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</si>
  <si>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</si>
  <si>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</si>
  <si>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</si>
  <si>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</si>
  <si>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</si>
  <si>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</si>
  <si>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</si>
  <si>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</si>
  <si>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</si>
  <si>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</si>
  <si>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</si>
  <si>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</si>
  <si>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</si>
  <si>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</si>
  <si>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</si>
  <si>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</si>
  <si>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</si>
  <si>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</si>
  <si>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</si>
  <si>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</si>
  <si>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</si>
  <si>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</si>
  <si>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</si>
  <si>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</si>
  <si>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</si>
  <si>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</si>
  <si>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</si>
  <si>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</si>
  <si>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</si>
  <si>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</si>
  <si>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</si>
  <si>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</si>
  <si>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</si>
  <si>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</si>
  <si>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</si>
  <si>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</si>
  <si>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</si>
  <si>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</si>
  <si>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</si>
  <si>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</si>
  <si>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</si>
  <si>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</si>
  <si>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>PRODUCT</t>
  </si>
  <si>
    <t>MultiFunctional Storage Rack Multi-layer Booelf</t>
  </si>
  <si>
    <t>CURRENT PRICE (KSH</t>
  </si>
  <si>
    <t>OLD PRICE (KSH)</t>
  </si>
  <si>
    <t>220V 60W Electric Soldering Iron Kits With Tools Tips And Multimeter</t>
  </si>
  <si>
    <t>4pcs Bathroom/Kitchen Towel RackRoll Paper HolderTowel BarsHook</t>
  </si>
  <si>
    <t>LED Romantic Spaceship Starry Sky ProjectorChildren's Bedroom Night Light-Blue</t>
  </si>
  <si>
    <t>LED Eye Protection  Desk Lamp  Study Reading USB Fan - Double Pen Holder</t>
  </si>
  <si>
    <t>DIY File Folder Office Drawer File Holder Pen Holder Desktop Storage Rack</t>
  </si>
  <si>
    <t>1/2/3 Seater Elastic Sofa CoverLiving Room/Home Decor Chair Cover-Grey</t>
  </si>
  <si>
    <t>Balloon Insert Birthday Party Balloon Set PU Leather</t>
  </si>
  <si>
    <t>7-piece Set Of Storage Bags Travel Storage Bags Shoe Bags</t>
  </si>
  <si>
    <t>Electric LED UV Mosquito Killer Lamp Outdoor/Indoor Fly Killer Trap Light -USB</t>
  </si>
  <si>
    <t>Memory Foam Neck Pillow Cover With Pillow Core - 50*30cm</t>
  </si>
  <si>
    <t>Konka Healty Electric Kettle 24-hour Heat Preservation1.5L800W White</t>
  </si>
  <si>
    <t>9pcs Gas Mask For Painting Dust Formaldehyde Grinding Polishing</t>
  </si>
  <si>
    <t>NOS. OF REVIEWS</t>
  </si>
  <si>
    <t>RATINGS (OUT OF 5)</t>
  </si>
  <si>
    <t>DISCOUNT AMOUNT</t>
  </si>
  <si>
    <t>RATING CATEGORY</t>
  </si>
  <si>
    <t>DISCOUNT CATEGORY</t>
  </si>
  <si>
    <t>Sum of CURRENT PRICE (KSH</t>
  </si>
  <si>
    <t>Sum of RATINGS (OUT OF 5)</t>
  </si>
  <si>
    <t>Average of CURRENT PRICE (KSH</t>
  </si>
  <si>
    <t>Average of OLD PRICE (KSH)</t>
  </si>
  <si>
    <t>Average of DISCOUNT (%)</t>
  </si>
  <si>
    <t>Average of RATINGS (OUT OF 5)</t>
  </si>
  <si>
    <t>Row Labels</t>
  </si>
  <si>
    <t>(blank)</t>
  </si>
  <si>
    <t>Grand Total</t>
  </si>
  <si>
    <t>High Discount</t>
  </si>
  <si>
    <t>Low Discount</t>
  </si>
  <si>
    <t>Average</t>
  </si>
  <si>
    <t>Excellent</t>
  </si>
  <si>
    <t>Poor</t>
  </si>
  <si>
    <t>Count of PRODUCT</t>
  </si>
  <si>
    <t>Sum of NOS. OF REVIEWS</t>
  </si>
  <si>
    <t>Average of NOS. OF REVIEWS</t>
  </si>
  <si>
    <t>DISCOUNT ()</t>
  </si>
  <si>
    <t>PRODUCT PERFORMANCE</t>
  </si>
  <si>
    <t>JUMIA PRODUCT PERFORMANCE DASHBOARD</t>
  </si>
  <si>
    <t>TREND ANALYSIS - DISCOUNT% VS REVIEWS &amp; RATING VS REVIEWS</t>
  </si>
  <si>
    <t>PERFORMANCE CHARTS - TOP PRODUCTS BY DISCOUNT &amp;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</si>
</sst>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sz val="2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9" fontId="0" fillId="0" borderId="0" xfId="0" applyNumberFormat="1"/>
    <xf numFmtId="0" fontId="0" fillId="0" borderId="10" xfId="0" applyBorder="1"/>
    <xf numFmtId="2" fontId="0" fillId="0" borderId="10" xfId="0" applyNumberFormat="1" applyBorder="1"/>
    <xf numFmtId="2" fontId="0" fillId="0" borderId="0" xfId="0" applyNumberFormat="1"/>
    <xf numFmtId="0" fontId="16" fillId="33" borderId="10" xfId="0" applyFont="1" applyFill="1" applyBorder="1"/>
    <xf numFmtId="1" fontId="0" fillId="0" borderId="0" xfId="0" applyNumberFormat="1"/>
    <xf numFmtId="0" fontId="16" fillId="33" borderId="1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16" fillId="33" borderId="12" xfId="0" applyFont="1" applyFill="1" applyBorder="1"/>
    <xf numFmtId="2" fontId="0" fillId="0" borderId="12" xfId="0" applyNumberFormat="1" applyBorder="1"/>
    <xf numFmtId="1" fontId="16" fillId="33" borderId="13" xfId="0" applyNumberFormat="1" applyFont="1" applyFill="1" applyBorder="1"/>
    <xf numFmtId="1" fontId="0" fillId="0" borderId="13" xfId="0" applyNumberFormat="1" applyBorder="1"/>
    <xf numFmtId="164" fontId="16" fillId="33" borderId="10" xfId="42" applyNumberFormat="1" applyFont="1" applyFill="1" applyBorder="1"/>
    <xf numFmtId="164" fontId="0" fillId="0" borderId="10" xfId="0" applyNumberFormat="1" applyBorder="1"/>
    <xf numFmtId="164" fontId="0" fillId="0" borderId="10" xfId="42" applyNumberFormat="1" applyFont="1" applyBorder="1"/>
    <xf numFmtId="164" fontId="0" fillId="0" borderId="14" xfId="42" applyNumberFormat="1" applyFont="1" applyBorder="1"/>
    <xf numFmtId="164" fontId="0" fillId="0" borderId="0" xfId="42" applyNumberFormat="1" applyFont="1" applyBorder="1"/>
    <xf numFmtId="0" fontId="0" fillId="35" borderId="0" xfId="0" applyFill="1"/>
    <xf numFmtId="0" fontId="20" fillId="36" borderId="0" xfId="0" applyFont="1" applyFill="1" applyAlignment="1">
      <alignment horizontal="center"/>
    </xf>
    <xf numFmtId="0" fontId="21" fillId="37" borderId="0" xfId="0" applyFont="1" applyFill="1"/>
    <xf numFmtId="0" fontId="17" fillId="37" borderId="0" xfId="0" applyFont="1" applyFill="1"/>
    <xf numFmtId="0" fontId="19" fillId="38" borderId="0" xfId="0" applyFont="1" applyFill="1"/>
    <xf numFmtId="0" fontId="22" fillId="38" borderId="0" xfId="0" applyFont="1" applyFill="1"/>
    <xf numFmtId="0" fontId="19" fillId="39" borderId="0" xfId="0" applyFont="1" applyFill="1"/>
    <xf numFmtId="0" fontId="0" fillId="39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ASSIGNMENT.xlsx]AVG(DISC,OLD, NEW, PRICE)!PivotTable1</c:name>
    <c:fmtId val="12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'AVG(DISC,OLD, NEW, PRICE)'!$A$3</c:f>
              <c:strCache>
                <c:ptCount val="1"/>
                <c:pt idx="0">
                  <c:v>Average of CURRENT PRICE (KSH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'AVG(DISC,OLD, NEW, PRICE)'!$A$4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'AVG(DISC,OLD, NEW, PRICE)'!$A$4</c:f>
              <c:numCache>
                <c:formatCode>General</c:formatCode>
                <c:ptCount val="1"/>
                <c:pt idx="0">
                  <c:v>1174.3565217391304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F-4518-BD85-EE380EB4778D}"/>
            </c:ext>
          </c:extLst>
        </c:ser>
        <c:ser>
          <c:idx val="1"/>
          <c:order val="1"/>
          <c:tx>
            <c:strRef>
              <c:f>'AVG(DISC,OLD, NEW, PRICE)'!$B$3</c:f>
              <c:strCache>
                <c:ptCount val="1"/>
                <c:pt idx="0">
                  <c:v>Average of OLD PRICE (KSH)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'AVG(DISC,OLD, NEW, PRICE)'!$A$4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'AVG(DISC,OLD, NEW, PRICE)'!$B$4</c:f>
              <c:numCache>
                <c:formatCode>General</c:formatCode>
                <c:ptCount val="1"/>
                <c:pt idx="0">
                  <c:v>1797.0695652173913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F-4518-BD85-EE380EB4778D}"/>
            </c:ext>
          </c:extLst>
        </c:ser>
        <c:ser>
          <c:idx val="2"/>
          <c:order val="2"/>
          <c:tx>
            <c:strRef>
              <c:f>'AVG(DISC,OLD, NEW, PRICE)'!$C$3</c:f>
              <c:strCache>
                <c:ptCount val="1"/>
                <c:pt idx="0">
                  <c:v>Average of DISCOUNT (%)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'AVG(DISC,OLD, NEW, PRICE)'!$A$4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'AVG(DISC,OLD, NEW, PRICE)'!$C$4</c:f>
              <c:numCache>
                <c:formatCode>General</c:formatCode>
                <c:ptCount val="1"/>
                <c:pt idx="0">
                  <c:v>102.6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F-4518-BD85-EE380EB4778D}"/>
            </c:ext>
          </c:extLst>
        </c:ser>
        <c:ser>
          <c:idx val="3"/>
          <c:order val="3"/>
          <c:tx>
            <c:strRef>
              <c:f>'AVG(DISC,OLD, NEW, PRICE)'!$D$3</c:f>
              <c:strCache>
                <c:ptCount val="1"/>
                <c:pt idx="0">
                  <c:v>Average of RATINGS (OUT OF 5)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'AVG(DISC,OLD, NEW, PRICE)'!$A$4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'AVG(DISC,OLD, NEW, PRICE)'!$D$4</c:f>
              <c:numCache>
                <c:formatCode>General</c:formatCode>
                <c:ptCount val="1"/>
                <c:pt idx="0">
                  <c:v>3.8894736842105258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F-4518-BD85-EE380EB4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885776"/>
        <c:axId val="1092882896"/>
      </c:barChart>
      <c:catAx>
        <c:axId val="109288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82896"/>
        <c:crosses val="autoZero"/>
        <c:auto val="1"/>
        <c:lblAlgn val="ctr"/>
        <c:lblOffset val="100"/>
        <c:noMultiLvlLbl val="0"/>
      </c:catAx>
      <c:valAx>
        <c:axId val="109288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8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ASSIGNMENT.xlsx]PROD, RAT CAT!PivotTable4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PRODUCTS</a:t>
            </a:r>
            <a:r>
              <a:rPr lang="en-US" baseline="0">
                <a:solidFill>
                  <a:srgbClr val="FF0000"/>
                </a:solidFill>
              </a:rPr>
              <a:t> BY RATING CATEGORY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'PROD, RAT CAT'!$B$3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1B-4CE9-908C-4372B0CC10DA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1B-4CE9-908C-4372B0CC10DA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1B-4CE9-908C-4372B0CC10DA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1B-4CE9-908C-4372B0CC10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'PROD, RAT CAT'!$A$4:$A$8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Poor</c:v>
                </c:pt>
                <c:pt idx="3">
                  <c:v>(blank)</c:v>
                </c:pt>
              </c:strCache>
            </c:strRef>
          </c:cat>
          <c:val>
            <c:numRef>
              <c:f>'PROD, RAT CAT'!$B$4:$B$8</c:f>
              <c:numCache>
                <c:formatCode>General</c:formatCode>
                <c:ptCount val="4"/>
                <c:pt idx="0">
                  <c:v>22</c:v>
                </c:pt>
                <c:pt idx="1">
                  <c:v>23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4-436E-AB42-8B91C44679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FF0000"/>
                </a:solidFill>
              </a:rPr>
              <a:t>Discount % vs Number of Reviews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DATA'!$E$1</c:f>
              <c:strCache>
                <c:ptCount val="1"/>
                <c:pt idx="0">
                  <c:v>NOS. OF REVIEWS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DATA'!$D$2:$D$276</c:f>
              <c:numCache>
                <c:formatCode>0\%</c:formatCode>
                <c:ptCount val="275"/>
                <c:pt idx="0">
                  <c:v>38</c:v>
                </c:pt>
                <c:pt idx="1">
                  <c:v>47</c:v>
                </c:pt>
                <c:pt idx="2">
                  <c:v>25</c:v>
                </c:pt>
                <c:pt idx="3">
                  <c:v>37</c:v>
                </c:pt>
                <c:pt idx="4">
                  <c:v>26</c:v>
                </c:pt>
                <c:pt idx="5">
                  <c:v>9</c:v>
                </c:pt>
                <c:pt idx="6">
                  <c:v>24</c:v>
                </c:pt>
                <c:pt idx="7">
                  <c:v>37</c:v>
                </c:pt>
                <c:pt idx="8">
                  <c:v>55</c:v>
                </c:pt>
                <c:pt idx="9">
                  <c:v>45</c:v>
                </c:pt>
                <c:pt idx="10">
                  <c:v>20</c:v>
                </c:pt>
                <c:pt idx="11">
                  <c:v>34</c:v>
                </c:pt>
                <c:pt idx="12">
                  <c:v>47</c:v>
                </c:pt>
                <c:pt idx="13">
                  <c:v>42</c:v>
                </c:pt>
                <c:pt idx="14">
                  <c:v>33</c:v>
                </c:pt>
                <c:pt idx="15">
                  <c:v>51</c:v>
                </c:pt>
                <c:pt idx="16">
                  <c:v>46</c:v>
                </c:pt>
                <c:pt idx="17">
                  <c:v>49</c:v>
                </c:pt>
                <c:pt idx="18">
                  <c:v>19</c:v>
                </c:pt>
                <c:pt idx="19">
                  <c:v>49</c:v>
                </c:pt>
                <c:pt idx="20">
                  <c:v>53</c:v>
                </c:pt>
                <c:pt idx="21">
                  <c:v>42</c:v>
                </c:pt>
                <c:pt idx="22">
                  <c:v>35</c:v>
                </c:pt>
                <c:pt idx="23">
                  <c:v>23</c:v>
                </c:pt>
                <c:pt idx="24">
                  <c:v>54</c:v>
                </c:pt>
                <c:pt idx="25">
                  <c:v>35</c:v>
                </c:pt>
                <c:pt idx="26">
                  <c:v>18</c:v>
                </c:pt>
                <c:pt idx="27">
                  <c:v>32</c:v>
                </c:pt>
                <c:pt idx="28">
                  <c:v>30</c:v>
                </c:pt>
                <c:pt idx="29">
                  <c:v>46</c:v>
                </c:pt>
                <c:pt idx="30">
                  <c:v>52</c:v>
                </c:pt>
                <c:pt idx="31">
                  <c:v>34</c:v>
                </c:pt>
                <c:pt idx="32">
                  <c:v>48</c:v>
                </c:pt>
                <c:pt idx="33">
                  <c:v>27</c:v>
                </c:pt>
                <c:pt idx="34">
                  <c:v>27</c:v>
                </c:pt>
                <c:pt idx="35">
                  <c:v>40</c:v>
                </c:pt>
                <c:pt idx="36">
                  <c:v>53</c:v>
                </c:pt>
                <c:pt idx="37">
                  <c:v>41</c:v>
                </c:pt>
                <c:pt idx="38">
                  <c:v>38</c:v>
                </c:pt>
                <c:pt idx="39">
                  <c:v>38</c:v>
                </c:pt>
                <c:pt idx="40">
                  <c:v>49</c:v>
                </c:pt>
                <c:pt idx="41">
                  <c:v>50</c:v>
                </c:pt>
                <c:pt idx="42">
                  <c:v>42</c:v>
                </c:pt>
                <c:pt idx="43">
                  <c:v>42</c:v>
                </c:pt>
                <c:pt idx="44">
                  <c:v>2</c:v>
                </c:pt>
                <c:pt idx="45">
                  <c:v>50</c:v>
                </c:pt>
                <c:pt idx="46">
                  <c:v>33</c:v>
                </c:pt>
                <c:pt idx="47">
                  <c:v>49</c:v>
                </c:pt>
                <c:pt idx="48">
                  <c:v>38</c:v>
                </c:pt>
                <c:pt idx="49">
                  <c:v>61</c:v>
                </c:pt>
                <c:pt idx="50">
                  <c:v>50</c:v>
                </c:pt>
                <c:pt idx="51">
                  <c:v>2</c:v>
                </c:pt>
                <c:pt idx="52">
                  <c:v>22</c:v>
                </c:pt>
                <c:pt idx="53">
                  <c:v>3</c:v>
                </c:pt>
                <c:pt idx="54">
                  <c:v>41</c:v>
                </c:pt>
                <c:pt idx="55">
                  <c:v>45</c:v>
                </c:pt>
                <c:pt idx="56">
                  <c:v>48</c:v>
                </c:pt>
                <c:pt idx="57">
                  <c:v>49</c:v>
                </c:pt>
                <c:pt idx="58">
                  <c:v>27</c:v>
                </c:pt>
                <c:pt idx="59">
                  <c:v>55</c:v>
                </c:pt>
                <c:pt idx="60">
                  <c:v>13</c:v>
                </c:pt>
                <c:pt idx="61">
                  <c:v>54</c:v>
                </c:pt>
                <c:pt idx="62">
                  <c:v>55</c:v>
                </c:pt>
                <c:pt idx="63">
                  <c:v>49</c:v>
                </c:pt>
                <c:pt idx="64">
                  <c:v>52</c:v>
                </c:pt>
                <c:pt idx="65">
                  <c:v>22</c:v>
                </c:pt>
                <c:pt idx="66">
                  <c:v>45</c:v>
                </c:pt>
                <c:pt idx="67">
                  <c:v>50</c:v>
                </c:pt>
                <c:pt idx="68">
                  <c:v>39</c:v>
                </c:pt>
                <c:pt idx="69">
                  <c:v>45</c:v>
                </c:pt>
                <c:pt idx="70">
                  <c:v>29</c:v>
                </c:pt>
                <c:pt idx="71">
                  <c:v>43</c:v>
                </c:pt>
                <c:pt idx="72">
                  <c:v>43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43</c:v>
                </c:pt>
                <c:pt idx="77">
                  <c:v>4</c:v>
                </c:pt>
                <c:pt idx="78">
                  <c:v>49</c:v>
                </c:pt>
                <c:pt idx="79">
                  <c:v>46</c:v>
                </c:pt>
                <c:pt idx="80">
                  <c:v>49</c:v>
                </c:pt>
                <c:pt idx="81">
                  <c:v>36</c:v>
                </c:pt>
                <c:pt idx="82">
                  <c:v>2</c:v>
                </c:pt>
                <c:pt idx="83">
                  <c:v>49</c:v>
                </c:pt>
                <c:pt idx="84">
                  <c:v>42</c:v>
                </c:pt>
                <c:pt idx="85">
                  <c:v>49</c:v>
                </c:pt>
                <c:pt idx="86">
                  <c:v>14</c:v>
                </c:pt>
                <c:pt idx="87">
                  <c:v>49</c:v>
                </c:pt>
                <c:pt idx="88">
                  <c:v>11</c:v>
                </c:pt>
                <c:pt idx="89">
                  <c:v>49</c:v>
                </c:pt>
                <c:pt idx="90">
                  <c:v>14</c:v>
                </c:pt>
                <c:pt idx="91">
                  <c:v>43</c:v>
                </c:pt>
                <c:pt idx="92">
                  <c:v>50</c:v>
                </c:pt>
                <c:pt idx="93">
                  <c:v>48</c:v>
                </c:pt>
                <c:pt idx="94">
                  <c:v>48</c:v>
                </c:pt>
                <c:pt idx="95">
                  <c:v>47</c:v>
                </c:pt>
                <c:pt idx="96">
                  <c:v>47</c:v>
                </c:pt>
                <c:pt idx="97">
                  <c:v>50</c:v>
                </c:pt>
                <c:pt idx="98">
                  <c:v>8</c:v>
                </c:pt>
                <c:pt idx="99">
                  <c:v>2</c:v>
                </c:pt>
                <c:pt idx="100">
                  <c:v>49</c:v>
                </c:pt>
                <c:pt idx="101">
                  <c:v>4</c:v>
                </c:pt>
                <c:pt idx="102">
                  <c:v>49</c:v>
                </c:pt>
                <c:pt idx="103">
                  <c:v>42</c:v>
                </c:pt>
                <c:pt idx="104">
                  <c:v>21</c:v>
                </c:pt>
                <c:pt idx="105">
                  <c:v>41</c:v>
                </c:pt>
                <c:pt idx="106">
                  <c:v>1</c:v>
                </c:pt>
                <c:pt idx="107">
                  <c:v>24</c:v>
                </c:pt>
                <c:pt idx="108">
                  <c:v>34</c:v>
                </c:pt>
                <c:pt idx="109">
                  <c:v>34</c:v>
                </c:pt>
                <c:pt idx="110">
                  <c:v>2</c:v>
                </c:pt>
                <c:pt idx="111">
                  <c:v>2</c:v>
                </c:pt>
                <c:pt idx="112">
                  <c:v>64</c:v>
                </c:pt>
                <c:pt idx="113">
                  <c:v>50</c:v>
                </c:pt>
                <c:pt idx="114">
                  <c:v>47</c:v>
                </c:pt>
              </c:numCache>
            </c:numRef>
          </c:xVal>
          <c:yVal>
            <c:numRef>
              <c:f>'CLEAN DATA'!$E$2:$E$276</c:f>
              <c:numCache>
                <c:formatCode>0</c:formatCode>
                <c:ptCount val="275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60">
                  <c:v>6</c:v>
                </c:pt>
                <c:pt idx="61">
                  <c:v>10</c:v>
                </c:pt>
                <c:pt idx="62">
                  <c:v>13</c:v>
                </c:pt>
                <c:pt idx="63">
                  <c:v>69</c:v>
                </c:pt>
                <c:pt idx="64">
                  <c:v>15</c:v>
                </c:pt>
                <c:pt idx="65">
                  <c:v>16</c:v>
                </c:pt>
                <c:pt idx="66">
                  <c:v>6</c:v>
                </c:pt>
                <c:pt idx="67">
                  <c:v>7</c:v>
                </c:pt>
                <c:pt idx="68">
                  <c:v>5</c:v>
                </c:pt>
                <c:pt idx="69">
                  <c:v>17</c:v>
                </c:pt>
                <c:pt idx="70">
                  <c:v>5</c:v>
                </c:pt>
                <c:pt idx="71">
                  <c:v>6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104">
                  <c:v>1</c:v>
                </c:pt>
                <c:pt idx="1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C-4977-B495-09F147772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023536"/>
        <c:axId val="1008382352"/>
      </c:scatterChart>
      <c:valAx>
        <c:axId val="109502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\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82352"/>
        <c:crosses val="autoZero"/>
        <c:crossBetween val="midCat"/>
      </c:valAx>
      <c:valAx>
        <c:axId val="1008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2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RATINGS VS</a:t>
            </a:r>
            <a:r>
              <a:rPr lang="en-US" baseline="0">
                <a:solidFill>
                  <a:srgbClr val="FF0000"/>
                </a:solidFill>
              </a:rPr>
              <a:t> REVIEWS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DATA'!$F$1</c:f>
              <c:strCache>
                <c:ptCount val="1"/>
                <c:pt idx="0">
                  <c:v>RATINGS (OUT OF 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'CLEAN DATA'!$E$2:$E$278</c:f>
              <c:numCache>
                <c:formatCode>0</c:formatCode>
                <c:ptCount val="277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60">
                  <c:v>6</c:v>
                </c:pt>
                <c:pt idx="61">
                  <c:v>10</c:v>
                </c:pt>
                <c:pt idx="62">
                  <c:v>13</c:v>
                </c:pt>
                <c:pt idx="63">
                  <c:v>69</c:v>
                </c:pt>
                <c:pt idx="64">
                  <c:v>15</c:v>
                </c:pt>
                <c:pt idx="65">
                  <c:v>16</c:v>
                </c:pt>
                <c:pt idx="66">
                  <c:v>6</c:v>
                </c:pt>
                <c:pt idx="67">
                  <c:v>7</c:v>
                </c:pt>
                <c:pt idx="68">
                  <c:v>5</c:v>
                </c:pt>
                <c:pt idx="69">
                  <c:v>17</c:v>
                </c:pt>
                <c:pt idx="70">
                  <c:v>5</c:v>
                </c:pt>
                <c:pt idx="71">
                  <c:v>6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104">
                  <c:v>1</c:v>
                </c:pt>
                <c:pt idx="113">
                  <c:v>1</c:v>
                </c:pt>
              </c:numCache>
            </c:numRef>
          </c:xVal>
          <c:yVal>
            <c:numRef>
              <c:f>'CLEAN DATA'!$F$2:$F$278</c:f>
              <c:numCache>
                <c:formatCode>General</c:formatCode>
                <c:ptCount val="277"/>
                <c:pt idx="0">
                  <c:v>4.5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4.7</c:v>
                </c:pt>
                <c:pt idx="4">
                  <c:v>4.8</c:v>
                </c:pt>
                <c:pt idx="5">
                  <c:v>4</c:v>
                </c:pt>
                <c:pt idx="6">
                  <c:v>4.5999999999999996</c:v>
                </c:pt>
                <c:pt idx="7">
                  <c:v>4</c:v>
                </c:pt>
                <c:pt idx="8">
                  <c:v>4.8</c:v>
                </c:pt>
                <c:pt idx="9">
                  <c:v>3.8</c:v>
                </c:pt>
                <c:pt idx="10">
                  <c:v>4.0999999999999996</c:v>
                </c:pt>
                <c:pt idx="11">
                  <c:v>4.7</c:v>
                </c:pt>
                <c:pt idx="12">
                  <c:v>4.8</c:v>
                </c:pt>
                <c:pt idx="13">
                  <c:v>4.5</c:v>
                </c:pt>
                <c:pt idx="14">
                  <c:v>4.2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3.3</c:v>
                </c:pt>
                <c:pt idx="22">
                  <c:v>4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4.5999999999999996</c:v>
                </c:pt>
                <c:pt idx="26">
                  <c:v>3.8</c:v>
                </c:pt>
                <c:pt idx="27">
                  <c:v>3.8</c:v>
                </c:pt>
                <c:pt idx="28">
                  <c:v>4.0999999999999996</c:v>
                </c:pt>
                <c:pt idx="30">
                  <c:v>4.3</c:v>
                </c:pt>
                <c:pt idx="31">
                  <c:v>4.7</c:v>
                </c:pt>
                <c:pt idx="32">
                  <c:v>4.3</c:v>
                </c:pt>
                <c:pt idx="33">
                  <c:v>4.7</c:v>
                </c:pt>
                <c:pt idx="34">
                  <c:v>4.5</c:v>
                </c:pt>
                <c:pt idx="35">
                  <c:v>5</c:v>
                </c:pt>
                <c:pt idx="36">
                  <c:v>5</c:v>
                </c:pt>
                <c:pt idx="37">
                  <c:v>4.3</c:v>
                </c:pt>
                <c:pt idx="38">
                  <c:v>4.5</c:v>
                </c:pt>
                <c:pt idx="60">
                  <c:v>2.5</c:v>
                </c:pt>
                <c:pt idx="61">
                  <c:v>3</c:v>
                </c:pt>
                <c:pt idx="62">
                  <c:v>2.1</c:v>
                </c:pt>
                <c:pt idx="63">
                  <c:v>2.8</c:v>
                </c:pt>
                <c:pt idx="64">
                  <c:v>2.7</c:v>
                </c:pt>
                <c:pt idx="65">
                  <c:v>2.9</c:v>
                </c:pt>
                <c:pt idx="66">
                  <c:v>2.2000000000000002</c:v>
                </c:pt>
                <c:pt idx="67">
                  <c:v>2.2999999999999998</c:v>
                </c:pt>
                <c:pt idx="68">
                  <c:v>3</c:v>
                </c:pt>
                <c:pt idx="69">
                  <c:v>2.6</c:v>
                </c:pt>
                <c:pt idx="70">
                  <c:v>3</c:v>
                </c:pt>
                <c:pt idx="71">
                  <c:v>2.2999999999999998</c:v>
                </c:pt>
                <c:pt idx="72">
                  <c:v>3</c:v>
                </c:pt>
                <c:pt idx="73">
                  <c:v>2.2000000000000002</c:v>
                </c:pt>
                <c:pt idx="74">
                  <c:v>2.1</c:v>
                </c:pt>
                <c:pt idx="79">
                  <c:v>3</c:v>
                </c:pt>
                <c:pt idx="80">
                  <c:v>5</c:v>
                </c:pt>
                <c:pt idx="83">
                  <c:v>4</c:v>
                </c:pt>
                <c:pt idx="104">
                  <c:v>5</c:v>
                </c:pt>
                <c:pt idx="11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5-460C-9CBC-23006B30C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896832"/>
        <c:axId val="1110899232"/>
      </c:scatterChart>
      <c:valAx>
        <c:axId val="11108968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9232"/>
        <c:crosses val="autoZero"/>
        <c:crossBetween val="midCat"/>
      </c:valAx>
      <c:valAx>
        <c:axId val="11108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ASSIGNMENT.xlsx]TOP 10 DISC!PivotTable10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Products with high discounts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DISC'!$B$3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10 DISC'!$A$4:$A$14</c:f>
              <c:strCache>
                <c:ptCount val="10"/>
                <c:pt idx="0">
                  <c:v>Black Simple Water Cup Wine Coaster Anti Slip Absorbent</c:v>
                </c:pt>
                <c:pt idx="1">
                  <c:v>Wall-mounted Sticker Punch-free Plug Fixer</c:v>
                </c:pt>
                <c:pt idx="2">
                  <c:v>6 In 1 Bottle Can Opener Multifunctional Easy Opener</c:v>
                </c:pt>
                <c:pt idx="3">
                  <c:v>Thickening Multipurpose Non Stick Easy To Clean Heat Resistant Spoon Pad</c:v>
                </c:pt>
                <c:pt idx="4">
                  <c:v>Shower Nozzle Cleaning Unclogging Needle Mini Crevice Small Hole Cleaning Brush</c:v>
                </c:pt>
                <c:pt idx="5">
                  <c:v>Cartoon Embroidered Mini Towel Bear Cotton Wash Cloth Hand 4pcs</c:v>
                </c:pt>
                <c:pt idx="6">
                  <c:v>LED Solar Street Light-fake Camera</c:v>
                </c:pt>
                <c:pt idx="7">
                  <c:v>1PC Refrigerator Food Seal Pocket Fridge Bags</c:v>
                </c:pt>
                <c:pt idx="8">
                  <c:v>24 Grid Wall-mounted Sundries Organiser Fabric Closet Bag Storage Rack</c:v>
                </c:pt>
                <c:pt idx="9">
                  <c:v>9pcs Gas Mask For Painting Dust Formaldehyde Grinding Polishing</c:v>
                </c:pt>
              </c:strCache>
            </c:strRef>
          </c:cat>
          <c:val>
            <c:numRef>
              <c:f>'TOP 10 DISC'!$B$4:$B$14</c:f>
              <c:numCache>
                <c:formatCode>General</c:formatCode>
                <c:ptCount val="10"/>
                <c:pt idx="0">
                  <c:v>161</c:v>
                </c:pt>
                <c:pt idx="1">
                  <c:v>160</c:v>
                </c:pt>
                <c:pt idx="2">
                  <c:v>159</c:v>
                </c:pt>
                <c:pt idx="3">
                  <c:v>158</c:v>
                </c:pt>
                <c:pt idx="4">
                  <c:v>157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153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3-44DC-8873-F0EC1513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02208"/>
        <c:axId val="1011401104"/>
      </c:barChart>
      <c:catAx>
        <c:axId val="10896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01104"/>
        <c:crosses val="autoZero"/>
        <c:auto val="1"/>
        <c:lblAlgn val="ctr"/>
        <c:lblOffset val="100"/>
        <c:noMultiLvlLbl val="0"/>
      </c:catAx>
      <c:valAx>
        <c:axId val="101140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ASSIGNMENT.xlsx]TOP 10 REVIEWS!PivotTable11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Reviews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REVIEWS'!$B$3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REVIEWS'!$A$4:$A$14</c:f>
              <c:strCache>
                <c:ptCount val="10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53Pcs/Set Yarn Knitting Crochet Hooks With Bag - Fortune Cat</c:v>
                </c:pt>
                <c:pt idx="9">
                  <c:v>52 Pieces Cake Decorating Tool Set Gift Kit Baking Supplies</c:v>
                </c:pt>
              </c:strCache>
            </c:strRef>
          </c:cat>
          <c:val>
            <c:numRef>
              <c:f>'TOP 10 REVIEWS'!$B$4:$B$14</c:f>
              <c:numCache>
                <c:formatCode>General</c:formatCode>
                <c:ptCount val="10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B8B-8090-218A25E5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00368"/>
        <c:axId val="158903248"/>
      </c:barChart>
      <c:catAx>
        <c:axId val="1589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3248"/>
        <c:crosses val="autoZero"/>
        <c:auto val="1"/>
        <c:lblAlgn val="ctr"/>
        <c:lblOffset val="100"/>
        <c:noMultiLvlLbl val="0"/>
      </c:catAx>
      <c:valAx>
        <c:axId val="1589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ASSIGNMENT.xlsx]TOP 5 RATING!PivotTable12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Ratings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'TOP 5 RATING'!$B$3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F5-4530-8FF9-F9249C8FAD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F5-4530-8FF9-F9249C8FA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F5-4530-8FF9-F9249C8FAD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F5-4530-8FF9-F9249C8FAD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5F5-4530-8FF9-F9249C8FAD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5F5-4530-8FF9-F9249C8FAD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5F5-4530-8FF9-F9249C8FADD3}"/>
              </c:ext>
            </c:extLst>
          </c:dPt>
          <c:cat>
            <c:strRef>
              <c:f>'TOP 5 RATING'!$A$4:$A$11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 Office Drawer File Holder Pen Holder Desktop Storage Rack</c:v>
                </c:pt>
                <c:pt idx="4">
                  <c:v>Konka Healty Electric Kettle 24-hour Heat Preservation1.5L800W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'TOP 5 RATING'!$B$4:$B$11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E-4A6B-8156-95F08394C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ASSIGNMENT.xlsx]BOTTOM RATING!PivotTable13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RATING'!$A$4:$A$9</c:f>
              <c:strCache>
                <c:ptCount val="5"/>
                <c:pt idx="0">
                  <c:v>Wall-mounted Sticker Punch-free Plug Fixer</c:v>
                </c:pt>
                <c:pt idx="1">
                  <c:v>5-PCS Stainless Steel Cooking Pot Set With Steamed Slices</c:v>
                </c:pt>
                <c:pt idx="2">
                  <c:v>Electric LED UV Mosquito Killer Lamp Outdoor/Indoor Fly Killer Trap Light -USB</c:v>
                </c:pt>
                <c:pt idx="3">
                  <c:v>Artificial Potted Flowers Room Decorative Flowers (2 Pieces)</c:v>
                </c:pt>
                <c:pt idx="4">
                  <c:v>7-piece Set Of Storage Bags Travel Storage Bags Shoe Bags</c:v>
                </c:pt>
              </c:strCache>
            </c:strRef>
          </c:cat>
          <c:val>
            <c:numRef>
              <c:f>'BOTTOM RATING'!$B$4:$B$9</c:f>
              <c:numCache>
                <c:formatCode>General</c:formatCode>
                <c:ptCount val="5"/>
                <c:pt idx="0">
                  <c:v>2</c:v>
                </c:pt>
                <c:pt idx="1">
                  <c:v>2.1</c:v>
                </c:pt>
                <c:pt idx="2">
                  <c:v>2.1</c:v>
                </c:pt>
                <c:pt idx="3">
                  <c:v>2.2000000000000002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D-43E7-8B82-D4F03432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678416"/>
        <c:axId val="1140680816"/>
      </c:barChart>
      <c:catAx>
        <c:axId val="11406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80816"/>
        <c:crosses val="autoZero"/>
        <c:auto val="1"/>
        <c:lblAlgn val="ctr"/>
        <c:lblOffset val="100"/>
        <c:noMultiLvlLbl val="0"/>
      </c:catAx>
      <c:valAx>
        <c:axId val="11406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ASSIGNMENT.xlsx]DISC-RAT,REV!PivotTable14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Discount</a:t>
            </a:r>
            <a:r>
              <a:rPr lang="en-US" baseline="0">
                <a:solidFill>
                  <a:srgbClr val="FF0000"/>
                </a:solidFill>
              </a:rPr>
              <a:t>-Ratings  and Reviews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'DISC-RAT,REV'!$B$3</c:f>
              <c:strCache>
                <c:ptCount val="1"/>
                <c:pt idx="0">
                  <c:v>Average of RATINGS (OUT OF 5)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'DISC-RAT,REV'!$A$4:$A$6</c:f>
              <c:strCache>
                <c:ptCount val="2"/>
                <c:pt idx="0">
                  <c:v>High Discount</c:v>
                </c:pt>
                <c:pt idx="1">
                  <c:v>Low Discount</c:v>
                </c:pt>
              </c:strCache>
            </c:strRef>
          </c:cat>
          <c:val>
            <c:numRef>
              <c:f>'DISC-RAT,REV'!$B$4:$B$6</c:f>
              <c:numCache>
                <c:formatCode>General</c:formatCode>
                <c:ptCount val="2"/>
                <c:pt idx="0">
                  <c:v>3.8099999999999996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F-41E8-8E18-9BE66A8A5704}"/>
            </c:ext>
          </c:extLst>
        </c:ser>
        <c:ser>
          <c:idx val="1"/>
          <c:order val="1"/>
          <c:tx>
            <c:strRef>
              <c:f>'DISC-RAT,REV'!$C$3</c:f>
              <c:strCache>
                <c:ptCount val="1"/>
                <c:pt idx="0">
                  <c:v>Average of NOS. OF REVIEWS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'DISC-RAT,REV'!$A$4:$A$6</c:f>
              <c:strCache>
                <c:ptCount val="2"/>
                <c:pt idx="0">
                  <c:v>High Discount</c:v>
                </c:pt>
                <c:pt idx="1">
                  <c:v>Low Discount</c:v>
                </c:pt>
              </c:strCache>
            </c:strRef>
          </c:cat>
          <c:val>
            <c:numRef>
              <c:f>'DISC-RAT,REV'!$C$4:$C$6</c:f>
              <c:numCache>
                <c:formatCode>General</c:formatCode>
                <c:ptCount val="2"/>
                <c:pt idx="0">
                  <c:v>12.26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F-41E8-8E18-9BE66A8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00848"/>
        <c:axId val="1152639600"/>
      </c:barChart>
      <c:catAx>
        <c:axId val="1589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39600"/>
        <c:crosses val="autoZero"/>
        <c:auto val="1"/>
        <c:lblAlgn val="ctr"/>
        <c:lblOffset val="100"/>
        <c:noMultiLvlLbl val="0"/>
      </c:catAx>
      <c:valAx>
        <c:axId val="11526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ASSIGNMENT.xlsx]TOP 10 DISC!PivotTable10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Products with high discounts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DISC'!$B$3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10 DISC'!$A$4:$A$14</c:f>
              <c:strCache>
                <c:ptCount val="10"/>
                <c:pt idx="0">
                  <c:v>Black Simple Water Cup Wine Coaster Anti Slip Absorbent</c:v>
                </c:pt>
                <c:pt idx="1">
                  <c:v>Wall-mounted Sticker Punch-free Plug Fixer</c:v>
                </c:pt>
                <c:pt idx="2">
                  <c:v>6 In 1 Bottle Can Opener Multifunctional Easy Opener</c:v>
                </c:pt>
                <c:pt idx="3">
                  <c:v>Thickening Multipurpose Non Stick Easy To Clean Heat Resistant Spoon Pad</c:v>
                </c:pt>
                <c:pt idx="4">
                  <c:v>Shower Nozzle Cleaning Unclogging Needle Mini Crevice Small Hole Cleaning Brush</c:v>
                </c:pt>
                <c:pt idx="5">
                  <c:v>Cartoon Embroidered Mini Towel Bear Cotton Wash Cloth Hand 4pcs</c:v>
                </c:pt>
                <c:pt idx="6">
                  <c:v>LED Solar Street Light-fake Camera</c:v>
                </c:pt>
                <c:pt idx="7">
                  <c:v>1PC Refrigerator Food Seal Pocket Fridge Bags</c:v>
                </c:pt>
                <c:pt idx="8">
                  <c:v>24 Grid Wall-mounted Sundries Organiser Fabric Closet Bag Storage Rack</c:v>
                </c:pt>
                <c:pt idx="9">
                  <c:v>9pcs Gas Mask For Painting Dust Formaldehyde Grinding Polishing</c:v>
                </c:pt>
              </c:strCache>
            </c:strRef>
          </c:cat>
          <c:val>
            <c:numRef>
              <c:f>'TOP 10 DISC'!$B$4:$B$14</c:f>
              <c:numCache>
                <c:formatCode>General</c:formatCode>
                <c:ptCount val="10"/>
                <c:pt idx="0">
                  <c:v>161</c:v>
                </c:pt>
                <c:pt idx="1">
                  <c:v>160</c:v>
                </c:pt>
                <c:pt idx="2">
                  <c:v>159</c:v>
                </c:pt>
                <c:pt idx="3">
                  <c:v>158</c:v>
                </c:pt>
                <c:pt idx="4">
                  <c:v>157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153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1-4F74-96B9-C3F0B0AE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02208"/>
        <c:axId val="1011401104"/>
      </c:barChart>
      <c:catAx>
        <c:axId val="10896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01104"/>
        <c:crosses val="autoZero"/>
        <c:auto val="1"/>
        <c:lblAlgn val="ctr"/>
        <c:lblOffset val="100"/>
        <c:noMultiLvlLbl val="0"/>
      </c:catAx>
      <c:valAx>
        <c:axId val="101140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ASSIGNMENT.xlsx]TOP 5 RATING!PivotTable12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5 Ratings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920716112531973E-2"/>
          <c:y val="0.19163691827575569"/>
          <c:w val="0.56214162488001018"/>
          <c:h val="0.74464340814959573"/>
        </c:manualLayout>
      </c:layout>
      <c:pie3DChart>
        <c:varyColors val="1"/>
        <c:ser>
          <c:idx val="0"/>
          <c:order val="0"/>
          <c:tx>
            <c:strRef>
              <c:f>'TOP 5 RATING'!$B$3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28-441D-865A-5200A04355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28-441D-865A-5200A04355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28-441D-865A-5200A04355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28-441D-865A-5200A04355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28-441D-865A-5200A04355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028-441D-865A-5200A04355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028-441D-865A-5200A04355ED}"/>
              </c:ext>
            </c:extLst>
          </c:dPt>
          <c:cat>
            <c:strRef>
              <c:f>'TOP 5 RATING'!$A$4:$A$11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 Office Drawer File Holder Pen Holder Desktop Storage Rack</c:v>
                </c:pt>
                <c:pt idx="4">
                  <c:v>Konka Healty Electric Kettle 24-hour Heat Preservation1.5L800W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'TOP 5 RATING'!$B$4:$B$11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28-441D-865A-5200A0435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ASSIGNMENT.xlsx]BOTTOM RATING!PivotTable13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Bottom</a:t>
            </a:r>
            <a:r>
              <a:rPr lang="en-US" baseline="0">
                <a:solidFill>
                  <a:srgbClr val="FF0000"/>
                </a:solidFill>
              </a:rPr>
              <a:t> 5 Rating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RATING'!$A$4:$A$9</c:f>
              <c:strCache>
                <c:ptCount val="5"/>
                <c:pt idx="0">
                  <c:v>Wall-mounted Sticker Punch-free Plug Fixer</c:v>
                </c:pt>
                <c:pt idx="1">
                  <c:v>5-PCS Stainless Steel Cooking Pot Set With Steamed Slices</c:v>
                </c:pt>
                <c:pt idx="2">
                  <c:v>Electric LED UV Mosquito Killer Lamp Outdoor/Indoor Fly Killer Trap Light -USB</c:v>
                </c:pt>
                <c:pt idx="3">
                  <c:v>Artificial Potted Flowers Room Decorative Flowers (2 Pieces)</c:v>
                </c:pt>
                <c:pt idx="4">
                  <c:v>7-piece Set Of Storage Bags Travel Storage Bags Shoe Bags</c:v>
                </c:pt>
              </c:strCache>
            </c:strRef>
          </c:cat>
          <c:val>
            <c:numRef>
              <c:f>'BOTTOM RATING'!$B$4:$B$9</c:f>
              <c:numCache>
                <c:formatCode>General</c:formatCode>
                <c:ptCount val="5"/>
                <c:pt idx="0">
                  <c:v>2</c:v>
                </c:pt>
                <c:pt idx="1">
                  <c:v>2.1</c:v>
                </c:pt>
                <c:pt idx="2">
                  <c:v>2.1</c:v>
                </c:pt>
                <c:pt idx="3">
                  <c:v>2.2000000000000002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4-41DD-83D2-C58A57881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678416"/>
        <c:axId val="1140680816"/>
      </c:barChart>
      <c:catAx>
        <c:axId val="11406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80816"/>
        <c:crosses val="autoZero"/>
        <c:auto val="1"/>
        <c:lblAlgn val="ctr"/>
        <c:lblOffset val="100"/>
        <c:noMultiLvlLbl val="0"/>
      </c:catAx>
      <c:valAx>
        <c:axId val="11406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FF0000"/>
                </a:solidFill>
              </a:rPr>
              <a:t>Discount % vs Number of Reviews</a:t>
            </a:r>
            <a:endParaRPr lang="en-US"/>
          </a:p>
        </c:rich>
      </c:tx>
      <c:layout>
        <c:manualLayout>
          <c:xMode val="edge"/>
          <c:yMode val="edge"/>
          <c:x val="0.20593813190569721"/>
          <c:y val="2.3515992726707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DATA'!$E$1</c:f>
              <c:strCache>
                <c:ptCount val="1"/>
                <c:pt idx="0">
                  <c:v>NOS. OF REVIEWS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DATA'!$D$2:$D$276</c:f>
              <c:numCache>
                <c:formatCode>0\%</c:formatCode>
                <c:ptCount val="275"/>
                <c:pt idx="0">
                  <c:v>38</c:v>
                </c:pt>
                <c:pt idx="1">
                  <c:v>47</c:v>
                </c:pt>
                <c:pt idx="2">
                  <c:v>25</c:v>
                </c:pt>
                <c:pt idx="3">
                  <c:v>37</c:v>
                </c:pt>
                <c:pt idx="4">
                  <c:v>26</c:v>
                </c:pt>
                <c:pt idx="5">
                  <c:v>9</c:v>
                </c:pt>
                <c:pt idx="6">
                  <c:v>24</c:v>
                </c:pt>
                <c:pt idx="7">
                  <c:v>37</c:v>
                </c:pt>
                <c:pt idx="8">
                  <c:v>55</c:v>
                </c:pt>
                <c:pt idx="9">
                  <c:v>45</c:v>
                </c:pt>
                <c:pt idx="10">
                  <c:v>20</c:v>
                </c:pt>
                <c:pt idx="11">
                  <c:v>34</c:v>
                </c:pt>
                <c:pt idx="12">
                  <c:v>47</c:v>
                </c:pt>
                <c:pt idx="13">
                  <c:v>42</c:v>
                </c:pt>
                <c:pt idx="14">
                  <c:v>33</c:v>
                </c:pt>
                <c:pt idx="15">
                  <c:v>51</c:v>
                </c:pt>
                <c:pt idx="16">
                  <c:v>46</c:v>
                </c:pt>
                <c:pt idx="17">
                  <c:v>49</c:v>
                </c:pt>
                <c:pt idx="18">
                  <c:v>19</c:v>
                </c:pt>
                <c:pt idx="19">
                  <c:v>49</c:v>
                </c:pt>
                <c:pt idx="20">
                  <c:v>53</c:v>
                </c:pt>
                <c:pt idx="21">
                  <c:v>42</c:v>
                </c:pt>
                <c:pt idx="22">
                  <c:v>35</c:v>
                </c:pt>
                <c:pt idx="23">
                  <c:v>23</c:v>
                </c:pt>
                <c:pt idx="24">
                  <c:v>54</c:v>
                </c:pt>
                <c:pt idx="25">
                  <c:v>35</c:v>
                </c:pt>
                <c:pt idx="26">
                  <c:v>18</c:v>
                </c:pt>
                <c:pt idx="27">
                  <c:v>32</c:v>
                </c:pt>
                <c:pt idx="28">
                  <c:v>30</c:v>
                </c:pt>
                <c:pt idx="29">
                  <c:v>46</c:v>
                </c:pt>
                <c:pt idx="30">
                  <c:v>52</c:v>
                </c:pt>
                <c:pt idx="31">
                  <c:v>34</c:v>
                </c:pt>
                <c:pt idx="32">
                  <c:v>48</c:v>
                </c:pt>
                <c:pt idx="33">
                  <c:v>27</c:v>
                </c:pt>
                <c:pt idx="34">
                  <c:v>27</c:v>
                </c:pt>
                <c:pt idx="35">
                  <c:v>40</c:v>
                </c:pt>
                <c:pt idx="36">
                  <c:v>53</c:v>
                </c:pt>
                <c:pt idx="37">
                  <c:v>41</c:v>
                </c:pt>
                <c:pt idx="38">
                  <c:v>38</c:v>
                </c:pt>
                <c:pt idx="39">
                  <c:v>38</c:v>
                </c:pt>
                <c:pt idx="40">
                  <c:v>49</c:v>
                </c:pt>
                <c:pt idx="41">
                  <c:v>50</c:v>
                </c:pt>
                <c:pt idx="42">
                  <c:v>42</c:v>
                </c:pt>
                <c:pt idx="43">
                  <c:v>42</c:v>
                </c:pt>
                <c:pt idx="44">
                  <c:v>2</c:v>
                </c:pt>
                <c:pt idx="45">
                  <c:v>50</c:v>
                </c:pt>
                <c:pt idx="46">
                  <c:v>33</c:v>
                </c:pt>
                <c:pt idx="47">
                  <c:v>49</c:v>
                </c:pt>
                <c:pt idx="48">
                  <c:v>38</c:v>
                </c:pt>
                <c:pt idx="49">
                  <c:v>61</c:v>
                </c:pt>
                <c:pt idx="50">
                  <c:v>50</c:v>
                </c:pt>
                <c:pt idx="51">
                  <c:v>2</c:v>
                </c:pt>
                <c:pt idx="52">
                  <c:v>22</c:v>
                </c:pt>
                <c:pt idx="53">
                  <c:v>3</c:v>
                </c:pt>
                <c:pt idx="54">
                  <c:v>41</c:v>
                </c:pt>
                <c:pt idx="55">
                  <c:v>45</c:v>
                </c:pt>
                <c:pt idx="56">
                  <c:v>48</c:v>
                </c:pt>
                <c:pt idx="57">
                  <c:v>49</c:v>
                </c:pt>
                <c:pt idx="58">
                  <c:v>27</c:v>
                </c:pt>
                <c:pt idx="59">
                  <c:v>55</c:v>
                </c:pt>
                <c:pt idx="60">
                  <c:v>13</c:v>
                </c:pt>
                <c:pt idx="61">
                  <c:v>54</c:v>
                </c:pt>
                <c:pt idx="62">
                  <c:v>55</c:v>
                </c:pt>
                <c:pt idx="63">
                  <c:v>49</c:v>
                </c:pt>
                <c:pt idx="64">
                  <c:v>52</c:v>
                </c:pt>
                <c:pt idx="65">
                  <c:v>22</c:v>
                </c:pt>
                <c:pt idx="66">
                  <c:v>45</c:v>
                </c:pt>
                <c:pt idx="67">
                  <c:v>50</c:v>
                </c:pt>
                <c:pt idx="68">
                  <c:v>39</c:v>
                </c:pt>
                <c:pt idx="69">
                  <c:v>45</c:v>
                </c:pt>
                <c:pt idx="70">
                  <c:v>29</c:v>
                </c:pt>
                <c:pt idx="71">
                  <c:v>43</c:v>
                </c:pt>
                <c:pt idx="72">
                  <c:v>43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43</c:v>
                </c:pt>
                <c:pt idx="77">
                  <c:v>4</c:v>
                </c:pt>
                <c:pt idx="78">
                  <c:v>49</c:v>
                </c:pt>
                <c:pt idx="79">
                  <c:v>46</c:v>
                </c:pt>
                <c:pt idx="80">
                  <c:v>49</c:v>
                </c:pt>
                <c:pt idx="81">
                  <c:v>36</c:v>
                </c:pt>
                <c:pt idx="82">
                  <c:v>2</c:v>
                </c:pt>
                <c:pt idx="83">
                  <c:v>49</c:v>
                </c:pt>
                <c:pt idx="84">
                  <c:v>42</c:v>
                </c:pt>
                <c:pt idx="85">
                  <c:v>49</c:v>
                </c:pt>
                <c:pt idx="86">
                  <c:v>14</c:v>
                </c:pt>
                <c:pt idx="87">
                  <c:v>49</c:v>
                </c:pt>
                <c:pt idx="88">
                  <c:v>11</c:v>
                </c:pt>
                <c:pt idx="89">
                  <c:v>49</c:v>
                </c:pt>
                <c:pt idx="90">
                  <c:v>14</c:v>
                </c:pt>
                <c:pt idx="91">
                  <c:v>43</c:v>
                </c:pt>
                <c:pt idx="92">
                  <c:v>50</c:v>
                </c:pt>
                <c:pt idx="93">
                  <c:v>48</c:v>
                </c:pt>
                <c:pt idx="94">
                  <c:v>48</c:v>
                </c:pt>
                <c:pt idx="95">
                  <c:v>47</c:v>
                </c:pt>
                <c:pt idx="96">
                  <c:v>47</c:v>
                </c:pt>
                <c:pt idx="97">
                  <c:v>50</c:v>
                </c:pt>
                <c:pt idx="98">
                  <c:v>8</c:v>
                </c:pt>
                <c:pt idx="99">
                  <c:v>2</c:v>
                </c:pt>
                <c:pt idx="100">
                  <c:v>49</c:v>
                </c:pt>
                <c:pt idx="101">
                  <c:v>4</c:v>
                </c:pt>
                <c:pt idx="102">
                  <c:v>49</c:v>
                </c:pt>
                <c:pt idx="103">
                  <c:v>42</c:v>
                </c:pt>
                <c:pt idx="104">
                  <c:v>21</c:v>
                </c:pt>
                <c:pt idx="105">
                  <c:v>41</c:v>
                </c:pt>
                <c:pt idx="106">
                  <c:v>1</c:v>
                </c:pt>
                <c:pt idx="107">
                  <c:v>24</c:v>
                </c:pt>
                <c:pt idx="108">
                  <c:v>34</c:v>
                </c:pt>
                <c:pt idx="109">
                  <c:v>34</c:v>
                </c:pt>
                <c:pt idx="110">
                  <c:v>2</c:v>
                </c:pt>
                <c:pt idx="111">
                  <c:v>2</c:v>
                </c:pt>
                <c:pt idx="112">
                  <c:v>64</c:v>
                </c:pt>
                <c:pt idx="113">
                  <c:v>50</c:v>
                </c:pt>
                <c:pt idx="114">
                  <c:v>47</c:v>
                </c:pt>
              </c:numCache>
            </c:numRef>
          </c:xVal>
          <c:yVal>
            <c:numRef>
              <c:f>'CLEAN DATA'!$E$2:$E$276</c:f>
              <c:numCache>
                <c:formatCode>0</c:formatCode>
                <c:ptCount val="275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60">
                  <c:v>6</c:v>
                </c:pt>
                <c:pt idx="61">
                  <c:v>10</c:v>
                </c:pt>
                <c:pt idx="62">
                  <c:v>13</c:v>
                </c:pt>
                <c:pt idx="63">
                  <c:v>69</c:v>
                </c:pt>
                <c:pt idx="64">
                  <c:v>15</c:v>
                </c:pt>
                <c:pt idx="65">
                  <c:v>16</c:v>
                </c:pt>
                <c:pt idx="66">
                  <c:v>6</c:v>
                </c:pt>
                <c:pt idx="67">
                  <c:v>7</c:v>
                </c:pt>
                <c:pt idx="68">
                  <c:v>5</c:v>
                </c:pt>
                <c:pt idx="69">
                  <c:v>17</c:v>
                </c:pt>
                <c:pt idx="70">
                  <c:v>5</c:v>
                </c:pt>
                <c:pt idx="71">
                  <c:v>6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104">
                  <c:v>1</c:v>
                </c:pt>
                <c:pt idx="1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3-4391-9E40-285F828D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023536"/>
        <c:axId val="1008382352"/>
      </c:scatterChart>
      <c:valAx>
        <c:axId val="109502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\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82352"/>
        <c:crosses val="autoZero"/>
        <c:crossBetween val="midCat"/>
      </c:valAx>
      <c:valAx>
        <c:axId val="1008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2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RATINGS VS</a:t>
            </a:r>
            <a:r>
              <a:rPr lang="en-US" baseline="0">
                <a:solidFill>
                  <a:srgbClr val="FF0000"/>
                </a:solidFill>
              </a:rPr>
              <a:t> REVIEWS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DATA'!$F$1</c:f>
              <c:strCache>
                <c:ptCount val="1"/>
                <c:pt idx="0">
                  <c:v>RATINGS (OUT OF 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'CLEAN DATA'!$E$2:$E$278</c:f>
              <c:numCache>
                <c:formatCode>0</c:formatCode>
                <c:ptCount val="277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60">
                  <c:v>6</c:v>
                </c:pt>
                <c:pt idx="61">
                  <c:v>10</c:v>
                </c:pt>
                <c:pt idx="62">
                  <c:v>13</c:v>
                </c:pt>
                <c:pt idx="63">
                  <c:v>69</c:v>
                </c:pt>
                <c:pt idx="64">
                  <c:v>15</c:v>
                </c:pt>
                <c:pt idx="65">
                  <c:v>16</c:v>
                </c:pt>
                <c:pt idx="66">
                  <c:v>6</c:v>
                </c:pt>
                <c:pt idx="67">
                  <c:v>7</c:v>
                </c:pt>
                <c:pt idx="68">
                  <c:v>5</c:v>
                </c:pt>
                <c:pt idx="69">
                  <c:v>17</c:v>
                </c:pt>
                <c:pt idx="70">
                  <c:v>5</c:v>
                </c:pt>
                <c:pt idx="71">
                  <c:v>6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104">
                  <c:v>1</c:v>
                </c:pt>
                <c:pt idx="113">
                  <c:v>1</c:v>
                </c:pt>
              </c:numCache>
            </c:numRef>
          </c:xVal>
          <c:yVal>
            <c:numRef>
              <c:f>'CLEAN DATA'!$F$2:$F$278</c:f>
              <c:numCache>
                <c:formatCode>General</c:formatCode>
                <c:ptCount val="277"/>
                <c:pt idx="0">
                  <c:v>4.5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4.7</c:v>
                </c:pt>
                <c:pt idx="4">
                  <c:v>4.8</c:v>
                </c:pt>
                <c:pt idx="5">
                  <c:v>4</c:v>
                </c:pt>
                <c:pt idx="6">
                  <c:v>4.5999999999999996</c:v>
                </c:pt>
                <c:pt idx="7">
                  <c:v>4</c:v>
                </c:pt>
                <c:pt idx="8">
                  <c:v>4.8</c:v>
                </c:pt>
                <c:pt idx="9">
                  <c:v>3.8</c:v>
                </c:pt>
                <c:pt idx="10">
                  <c:v>4.0999999999999996</c:v>
                </c:pt>
                <c:pt idx="11">
                  <c:v>4.7</c:v>
                </c:pt>
                <c:pt idx="12">
                  <c:v>4.8</c:v>
                </c:pt>
                <c:pt idx="13">
                  <c:v>4.5</c:v>
                </c:pt>
                <c:pt idx="14">
                  <c:v>4.2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3.3</c:v>
                </c:pt>
                <c:pt idx="22">
                  <c:v>4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4.5999999999999996</c:v>
                </c:pt>
                <c:pt idx="26">
                  <c:v>3.8</c:v>
                </c:pt>
                <c:pt idx="27">
                  <c:v>3.8</c:v>
                </c:pt>
                <c:pt idx="28">
                  <c:v>4.0999999999999996</c:v>
                </c:pt>
                <c:pt idx="30">
                  <c:v>4.3</c:v>
                </c:pt>
                <c:pt idx="31">
                  <c:v>4.7</c:v>
                </c:pt>
                <c:pt idx="32">
                  <c:v>4.3</c:v>
                </c:pt>
                <c:pt idx="33">
                  <c:v>4.7</c:v>
                </c:pt>
                <c:pt idx="34">
                  <c:v>4.5</c:v>
                </c:pt>
                <c:pt idx="35">
                  <c:v>5</c:v>
                </c:pt>
                <c:pt idx="36">
                  <c:v>5</c:v>
                </c:pt>
                <c:pt idx="37">
                  <c:v>4.3</c:v>
                </c:pt>
                <c:pt idx="38">
                  <c:v>4.5</c:v>
                </c:pt>
                <c:pt idx="60">
                  <c:v>2.5</c:v>
                </c:pt>
                <c:pt idx="61">
                  <c:v>3</c:v>
                </c:pt>
                <c:pt idx="62">
                  <c:v>2.1</c:v>
                </c:pt>
                <c:pt idx="63">
                  <c:v>2.8</c:v>
                </c:pt>
                <c:pt idx="64">
                  <c:v>2.7</c:v>
                </c:pt>
                <c:pt idx="65">
                  <c:v>2.9</c:v>
                </c:pt>
                <c:pt idx="66">
                  <c:v>2.2000000000000002</c:v>
                </c:pt>
                <c:pt idx="67">
                  <c:v>2.2999999999999998</c:v>
                </c:pt>
                <c:pt idx="68">
                  <c:v>3</c:v>
                </c:pt>
                <c:pt idx="69">
                  <c:v>2.6</c:v>
                </c:pt>
                <c:pt idx="70">
                  <c:v>3</c:v>
                </c:pt>
                <c:pt idx="71">
                  <c:v>2.2999999999999998</c:v>
                </c:pt>
                <c:pt idx="72">
                  <c:v>3</c:v>
                </c:pt>
                <c:pt idx="73">
                  <c:v>2.2000000000000002</c:v>
                </c:pt>
                <c:pt idx="74">
                  <c:v>2.1</c:v>
                </c:pt>
                <c:pt idx="79">
                  <c:v>3</c:v>
                </c:pt>
                <c:pt idx="80">
                  <c:v>5</c:v>
                </c:pt>
                <c:pt idx="83">
                  <c:v>4</c:v>
                </c:pt>
                <c:pt idx="104">
                  <c:v>5</c:v>
                </c:pt>
                <c:pt idx="11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8-4712-9A77-43E7573E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896832"/>
        <c:axId val="1110899232"/>
      </c:scatterChart>
      <c:valAx>
        <c:axId val="11108968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9232"/>
        <c:crosses val="autoZero"/>
        <c:crossBetween val="midCat"/>
      </c:valAx>
      <c:valAx>
        <c:axId val="11108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DATA- ASSIGNMENT.xlsx]TOP 10 REVIEWS!PivotTable11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Reviews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REVIEWS'!$B$3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REVIEWS'!$A$4:$A$14</c:f>
              <c:strCache>
                <c:ptCount val="10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53Pcs/Set Yarn Knitting Crochet Hooks With Bag - Fortune Cat</c:v>
                </c:pt>
                <c:pt idx="9">
                  <c:v>52 Pieces Cake Decorating Tool Set Gift Kit Baking Supplies</c:v>
                </c:pt>
              </c:strCache>
            </c:strRef>
          </c:cat>
          <c:val>
            <c:numRef>
              <c:f>'TOP 10 REVIEWS'!$B$4:$B$14</c:f>
              <c:numCache>
                <c:formatCode>General</c:formatCode>
                <c:ptCount val="10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C-4558-BFEF-4E563CD3A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00368"/>
        <c:axId val="158903248"/>
      </c:barChart>
      <c:catAx>
        <c:axId val="1589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3248"/>
        <c:crosses val="autoZero"/>
        <c:auto val="1"/>
        <c:lblAlgn val="ctr"/>
        <c:lblOffset val="100"/>
        <c:noMultiLvlLbl val="0"/>
      </c:catAx>
      <c:valAx>
        <c:axId val="1589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[JUMIA DATA- ASSIGNMENT.xlsx]TOP 10 DISC!PivotTable10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Products with high discounts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DISC'!$B$3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10 DISC'!$A$4:$A$14</c:f>
              <c:strCache>
                <c:ptCount val="10"/>
                <c:pt idx="0">
                  <c:v>Black Simple Water Cup Wine Coaster Anti Slip Absorbent</c:v>
                </c:pt>
                <c:pt idx="1">
                  <c:v>Wall-mounted Sticker Punch-free Plug Fixer</c:v>
                </c:pt>
                <c:pt idx="2">
                  <c:v>6 In 1 Bottle Can Opener Multifunctional Easy Opener</c:v>
                </c:pt>
                <c:pt idx="3">
                  <c:v>Thickening Multipurpose Non Stick Easy To Clean Heat Resistant Spoon Pad</c:v>
                </c:pt>
                <c:pt idx="4">
                  <c:v>Shower Nozzle Cleaning Unclogging Needle Mini Crevice Small Hole Cleaning Brush</c:v>
                </c:pt>
                <c:pt idx="5">
                  <c:v>Cartoon Embroidered Mini Towel Bear Cotton Wash Cloth Hand 4pcs</c:v>
                </c:pt>
                <c:pt idx="6">
                  <c:v>LED Solar Street Light-fake Camera</c:v>
                </c:pt>
                <c:pt idx="7">
                  <c:v>1PC Refrigerator Food Seal Pocket Fridge Bags</c:v>
                </c:pt>
                <c:pt idx="8">
                  <c:v>24 Grid Wall-mounted Sundries Organiser Fabric Closet Bag Storage Rack</c:v>
                </c:pt>
                <c:pt idx="9">
                  <c:v>9pcs Gas Mask For Painting Dust Formaldehyde Grinding Polishing</c:v>
                </c:pt>
              </c:strCache>
            </c:strRef>
          </c:cat>
          <c:val>
            <c:numRef>
              <c:f>'TOP 10 DISC'!$B$4:$B$14</c:f>
              <c:numCache>
                <c:formatCode>General</c:formatCode>
                <c:ptCount val="10"/>
                <c:pt idx="0">
                  <c:v>161</c:v>
                </c:pt>
                <c:pt idx="1">
                  <c:v>160</c:v>
                </c:pt>
                <c:pt idx="2">
                  <c:v>159</c:v>
                </c:pt>
                <c:pt idx="3">
                  <c:v>158</c:v>
                </c:pt>
                <c:pt idx="4">
                  <c:v>157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153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8-410C-AE09-770AFF29E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02208"/>
        <c:axId val="1011401104"/>
      </c:barChart>
      <c:catAx>
        <c:axId val="10896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01104"/>
        <c:crosses val="autoZero"/>
        <c:auto val="1"/>
        <c:lblAlgn val="ctr"/>
        <c:lblOffset val="100"/>
        <c:noMultiLvlLbl val="0"/>
      </c:catAx>
      <c:valAx>
        <c:axId val="101140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image" Target="../media/image3.png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7</xdr:row>
      <xdr:rowOff>9525</xdr:rowOff>
    </xdr:from>
    <xdr:to>
      <xdr:col>3</xdr:col>
      <xdr:colOff>781050</xdr:colOff>
      <xdr:row>17</xdr:row>
      <xdr:rowOff>166686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6A5D3C-855A-1052-49AD-DB3C1A04B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495301</xdr:colOff>
      <xdr:row>1</xdr:row>
      <xdr:rowOff>152400</xdr:rowOff>
    </xdr:from>
    <xdr:to>
      <xdr:col>9</xdr:col>
      <xdr:colOff>247651</xdr:colOff>
      <xdr:row>11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8B4A2-E4A3-05A1-32F9-B126340ED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8332469" y="259080"/>
    <xdr:ext cx="4314825" cy="324034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5AB9C-5500-4635-B839-47EA0EF8D9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3</xdr:col>
      <xdr:colOff>276225</xdr:colOff>
      <xdr:row>21</xdr:row>
      <xdr:rowOff>9525</xdr:rowOff>
    </xdr:from>
    <xdr:to>
      <xdr:col>14</xdr:col>
      <xdr:colOff>10424</xdr:colOff>
      <xdr:row>28</xdr:row>
      <xdr:rowOff>133553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67653D-B060-5345-ACEE-652833C1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1850" y="4010025"/>
          <a:ext cx="6439799" cy="14575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304800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D73168-1A28-4E1A-88CD-D7E775556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13</xdr:col>
      <xdr:colOff>400872</xdr:colOff>
      <xdr:row>23</xdr:row>
      <xdr:rowOff>114449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AC4EB7-7E2F-8D18-BC4B-5755C721D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575" y="3429000"/>
          <a:ext cx="5887272" cy="10669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38099</xdr:rowOff>
    </xdr:from>
    <xdr:to>
      <xdr:col>9</xdr:col>
      <xdr:colOff>285750</xdr:colOff>
      <xdr:row>13</xdr:row>
      <xdr:rowOff>185736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B7384-C530-D28A-D21C-249EC8BC7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142874</xdr:rowOff>
    </xdr:from>
    <xdr:to>
      <xdr:col>9</xdr:col>
      <xdr:colOff>266700</xdr:colOff>
      <xdr:row>14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36406-0D7D-95D7-BE33-7C58D13D8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0</xdr:rowOff>
    </xdr:from>
    <xdr:to>
      <xdr:col>7</xdr:col>
      <xdr:colOff>447675</xdr:colOff>
      <xdr:row>14</xdr:row>
      <xdr:rowOff>128586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0DBB90-E489-C81C-8F9E-9A0EA83AA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38100</xdr:rowOff>
    </xdr:from>
    <xdr:to>
      <xdr:col>8</xdr:col>
      <xdr:colOff>0</xdr:colOff>
      <xdr:row>11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979CB-5DD0-7A75-E7A2-1DA1679E0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171449</xdr:rowOff>
    </xdr:from>
    <xdr:to>
      <xdr:col>11</xdr:col>
      <xdr:colOff>95250</xdr:colOff>
      <xdr:row>13</xdr:row>
      <xdr:rowOff>90486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960CF-3470-F3EA-F856-D85DC7428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447675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0EE74-0763-4FAD-837E-C6878F7F6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32385</xdr:colOff>
      <xdr:row>3</xdr:row>
      <xdr:rowOff>251460</xdr:rowOff>
    </xdr:from>
    <xdr:to>
      <xdr:col>13</xdr:col>
      <xdr:colOff>403868</xdr:colOff>
      <xdr:row>16</xdr:row>
      <xdr:rowOff>95467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C540E5-22B9-5871-A78D-C67AF54B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6325" y="1744980"/>
          <a:ext cx="4532003" cy="221382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17</xdr:row>
      <xdr:rowOff>104774</xdr:rowOff>
    </xdr:from>
    <xdr:to>
      <xdr:col>5</xdr:col>
      <xdr:colOff>556260</xdr:colOff>
      <xdr:row>32</xdr:row>
      <xdr:rowOff>121919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3A2BE2-B913-4F71-904A-62A31CBEB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9526</xdr:colOff>
      <xdr:row>17</xdr:row>
      <xdr:rowOff>114300</xdr:rowOff>
    </xdr:from>
    <xdr:to>
      <xdr:col>13</xdr:col>
      <xdr:colOff>685800</xdr:colOff>
      <xdr:row>32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391B11-85D0-4BBC-BD8E-325DB7042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absoluteAnchor>
    <xdr:pos x="0" y="6537960"/>
    <xdr:ext cx="4314825" cy="3240348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8B6285-5224-4827-994D-2688AEA4E8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twoCellAnchor>
    <xdr:from>
      <xdr:col>6</xdr:col>
      <xdr:colOff>640080</xdr:colOff>
      <xdr:row>35</xdr:row>
      <xdr:rowOff>53340</xdr:rowOff>
    </xdr:from>
    <xdr:to>
      <xdr:col>14</xdr:col>
      <xdr:colOff>480060</xdr:colOff>
      <xdr:row>53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EC2D26-92D7-4AD2-A366-83F615B59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6</xdr:col>
      <xdr:colOff>447675</xdr:colOff>
      <xdr:row>72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6CC649-940D-4775-8B16-74B35CA1C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</xdr:colOff>
      <xdr:row>59</xdr:row>
      <xdr:rowOff>30480</xdr:rowOff>
    </xdr:from>
    <xdr:to>
      <xdr:col>14</xdr:col>
      <xdr:colOff>312420</xdr:colOff>
      <xdr:row>71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C422A1-BA72-424D-A0AE-02C0BC3CE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5.453612152778" createdVersion="8" refreshedVersion="8" minRefreshableVersion="3" recordCount="116" xr:uid="{1DBD4F59-C386-42B0-B7C6-C4B229DCE35F}">
  <cacheSource type="worksheet">
    <worksheetSource ref="A1:I117" sheet="CLEAN DATA"/>
  </cacheSource>
  <cacheFields count="9">
    <cacheField name="PRODUCT" numFmtId="0">
      <sharedItems containsBlank="1" count="110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 Tips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Roll Paper HolderTowel BarsHook"/>
        <s v="LED Romantic Spaceship Starry Sky Projector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elf"/>
        <s v="Exfoliate And Exfoliate Face Towel - Black"/>
        <s v="12 Litre Insulated Lunch Box Grey"/>
        <s v="LED Eye Protection  Desk Lamp  Study Reading USB Fan - Double Pen Holder"/>
        <s v="53Pcs/Set Yarn Knitting Crochet Hooks With Bag - Fortune Cat"/>
        <s v="53 Pieces/Set Yarn Knitting Crochet Hooks With Bag - Pansies"/>
        <s v="DIY File Folder Office Drawer File Holder Pen Holder Desktop Storage Rack"/>
        <s v="Classic Black Cat Cotton Hemp Pillow Case For Home Car"/>
        <s v="Punch-free Great Load Bearing Bathroom Storage Rack Wall Shelf-White"/>
        <s v="1/2/3 Seater Elastic Sofa Cover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 Birthday Party Balloon Set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 Travel Storage Bags Shoe Bags"/>
        <s v="Electric LED UV Mosquito Killer Lamp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â„‰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 24-hour Heat Preservation1.5L800W White"/>
        <s v="9pcs Gas Mask For Painting Dust Formaldehyde Grinding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  <m/>
      </sharedItems>
    </cacheField>
    <cacheField name="CURRENT PRICE (KSH" numFmtId="2">
      <sharedItems containsString="0" containsBlank="1" containsNumber="1" containsInteger="1" minValue="38" maxValue="3750"/>
    </cacheField>
    <cacheField name="OLD PRICE (KSH)" numFmtId="2">
      <sharedItems containsString="0" containsBlank="1" containsNumber="1" containsInteger="1" minValue="80" maxValue="6143"/>
    </cacheField>
    <cacheField name="DISCOUNT (%)" numFmtId="1">
      <sharedItems containsString="0" containsBlank="1" containsNumber="1" containsInteger="1" minValue="9" maxValue="161"/>
    </cacheField>
    <cacheField name="NOS. OF REVIEWS" numFmtId="1">
      <sharedItems containsString="0" containsBlank="1" containsNumber="1" containsInteger="1" minValue="1" maxValue="69"/>
    </cacheField>
    <cacheField name="RATINGS (OUT OF 5)" numFmtId="0">
      <sharedItems containsString="0" containsBlank="1" containsNumber="1" minValue="2" maxValue="5"/>
    </cacheField>
    <cacheField name="DISCOUNT AMOUNT" numFmtId="2">
      <sharedItems containsString="0" containsBlank="1" containsNumber="1" containsInteger="1" minValue="24" maxValue="2585"/>
    </cacheField>
    <cacheField name="RATING CATEGORY" numFmtId="0">
      <sharedItems containsBlank="1" count="4">
        <s v="Excellent"/>
        <s v="Average"/>
        <s v="Poor"/>
        <m/>
      </sharedItems>
    </cacheField>
    <cacheField name="DISCOUNT CATEGORY" numFmtId="0">
      <sharedItems count="3">
        <s v="Medium Discount"/>
        <s v="High Discount"/>
        <s v="Low Discou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950"/>
    <n v="1525"/>
    <n v="38"/>
    <n v="2"/>
    <n v="4.5"/>
    <n v="575"/>
    <x v="0"/>
    <x v="0"/>
  </r>
  <r>
    <x v="1"/>
    <n v="527"/>
    <n v="999"/>
    <n v="47"/>
    <n v="14"/>
    <n v="4.0999999999999996"/>
    <n v="472"/>
    <x v="1"/>
    <x v="1"/>
  </r>
  <r>
    <x v="2"/>
    <n v="2199"/>
    <n v="2923"/>
    <n v="25"/>
    <n v="24"/>
    <n v="4.5999999999999996"/>
    <n v="724"/>
    <x v="0"/>
    <x v="0"/>
  </r>
  <r>
    <x v="3"/>
    <n v="1580"/>
    <n v="2499"/>
    <n v="37"/>
    <n v="7"/>
    <n v="4.7"/>
    <n v="919"/>
    <x v="0"/>
    <x v="0"/>
  </r>
  <r>
    <x v="4"/>
    <n v="1740"/>
    <n v="2356"/>
    <n v="26"/>
    <n v="5"/>
    <n v="4.8"/>
    <n v="616"/>
    <x v="0"/>
    <x v="0"/>
  </r>
  <r>
    <x v="5"/>
    <n v="2999"/>
    <n v="3290"/>
    <n v="9"/>
    <n v="15"/>
    <n v="4"/>
    <n v="291"/>
    <x v="1"/>
    <x v="2"/>
  </r>
  <r>
    <x v="6"/>
    <n v="2319"/>
    <n v="3032"/>
    <n v="24"/>
    <n v="55"/>
    <n v="4.5999999999999996"/>
    <n v="713"/>
    <x v="0"/>
    <x v="0"/>
  </r>
  <r>
    <x v="7"/>
    <n v="988"/>
    <n v="1580"/>
    <n v="37"/>
    <n v="2"/>
    <n v="4"/>
    <n v="592"/>
    <x v="1"/>
    <x v="0"/>
  </r>
  <r>
    <x v="8"/>
    <n v="1274"/>
    <n v="2800"/>
    <n v="55"/>
    <n v="5"/>
    <n v="4.8"/>
    <n v="1526"/>
    <x v="0"/>
    <x v="1"/>
  </r>
  <r>
    <x v="9"/>
    <n v="1600"/>
    <n v="2929"/>
    <n v="56"/>
    <n v="5"/>
    <n v="3.8"/>
    <n v="1329"/>
    <x v="1"/>
    <x v="1"/>
  </r>
  <r>
    <x v="10"/>
    <n v="799"/>
    <n v="999"/>
    <n v="57"/>
    <n v="12"/>
    <n v="4.0999999999999996"/>
    <n v="200"/>
    <x v="1"/>
    <x v="1"/>
  </r>
  <r>
    <x v="11"/>
    <n v="990"/>
    <n v="1500"/>
    <n v="58"/>
    <n v="39"/>
    <n v="4.7"/>
    <n v="510"/>
    <x v="0"/>
    <x v="1"/>
  </r>
  <r>
    <x v="12"/>
    <n v="552"/>
    <n v="1035"/>
    <n v="59"/>
    <n v="12"/>
    <n v="4.8"/>
    <n v="483"/>
    <x v="0"/>
    <x v="1"/>
  </r>
  <r>
    <x v="13"/>
    <n v="501"/>
    <n v="860"/>
    <n v="60"/>
    <n v="6"/>
    <n v="4.5"/>
    <n v="359"/>
    <x v="0"/>
    <x v="1"/>
  </r>
  <r>
    <x v="14"/>
    <n v="1680"/>
    <n v="2499"/>
    <n v="61"/>
    <n v="9"/>
    <n v="4.2"/>
    <n v="819"/>
    <x v="1"/>
    <x v="1"/>
  </r>
  <r>
    <x v="15"/>
    <n v="332"/>
    <n v="684"/>
    <n v="62"/>
    <n v="2"/>
    <n v="5"/>
    <n v="352"/>
    <x v="0"/>
    <x v="1"/>
  </r>
  <r>
    <x v="16"/>
    <n v="195"/>
    <n v="360"/>
    <n v="63"/>
    <n v="2"/>
    <n v="5"/>
    <n v="165"/>
    <x v="0"/>
    <x v="1"/>
  </r>
  <r>
    <x v="17"/>
    <n v="2025"/>
    <n v="3971"/>
    <n v="64"/>
    <n v="3"/>
    <n v="5"/>
    <n v="1946"/>
    <x v="0"/>
    <x v="1"/>
  </r>
  <r>
    <x v="18"/>
    <n v="2999"/>
    <n v="3699"/>
    <n v="65"/>
    <n v="5"/>
    <n v="4.5999999999999996"/>
    <n v="700"/>
    <x v="0"/>
    <x v="1"/>
  </r>
  <r>
    <x v="19"/>
    <n v="998"/>
    <n v="1966"/>
    <n v="66"/>
    <n v="44"/>
    <n v="4.5999999999999996"/>
    <n v="968"/>
    <x v="0"/>
    <x v="1"/>
  </r>
  <r>
    <x v="20"/>
    <n v="38"/>
    <n v="80"/>
    <n v="67"/>
    <n v="13"/>
    <n v="3.3"/>
    <n v="42"/>
    <x v="1"/>
    <x v="1"/>
  </r>
  <r>
    <x v="21"/>
    <n v="1860"/>
    <n v="3220"/>
    <n v="68"/>
    <m/>
    <m/>
    <n v="1360"/>
    <x v="2"/>
    <x v="1"/>
  </r>
  <r>
    <x v="22"/>
    <n v="880"/>
    <n v="1350"/>
    <n v="69"/>
    <n v="6"/>
    <n v="4"/>
    <n v="470"/>
    <x v="1"/>
    <x v="1"/>
  </r>
  <r>
    <x v="23"/>
    <n v="1650"/>
    <n v="2150"/>
    <n v="70"/>
    <n v="14"/>
    <n v="4.4000000000000004"/>
    <n v="500"/>
    <x v="1"/>
    <x v="1"/>
  </r>
  <r>
    <x v="24"/>
    <n v="2048"/>
    <n v="4500"/>
    <n v="71"/>
    <n v="7"/>
    <n v="4.3"/>
    <n v="2452"/>
    <x v="1"/>
    <x v="1"/>
  </r>
  <r>
    <x v="25"/>
    <n v="420"/>
    <n v="647"/>
    <n v="72"/>
    <n v="49"/>
    <n v="4.5999999999999996"/>
    <n v="227"/>
    <x v="0"/>
    <x v="1"/>
  </r>
  <r>
    <x v="26"/>
    <n v="2880"/>
    <n v="3520"/>
    <n v="73"/>
    <n v="12"/>
    <n v="3.8"/>
    <n v="640"/>
    <x v="1"/>
    <x v="1"/>
  </r>
  <r>
    <x v="27"/>
    <n v="1350"/>
    <n v="1990"/>
    <n v="74"/>
    <n v="13"/>
    <n v="3.8"/>
    <n v="640"/>
    <x v="1"/>
    <x v="1"/>
  </r>
  <r>
    <x v="28"/>
    <n v="1758"/>
    <n v="2499"/>
    <n v="75"/>
    <n v="20"/>
    <n v="4.0999999999999996"/>
    <n v="741"/>
    <x v="1"/>
    <x v="1"/>
  </r>
  <r>
    <x v="29"/>
    <n v="2200"/>
    <n v="4080"/>
    <n v="76"/>
    <m/>
    <m/>
    <n v="1880"/>
    <x v="2"/>
    <x v="1"/>
  </r>
  <r>
    <x v="30"/>
    <n v="185"/>
    <n v="382"/>
    <n v="77"/>
    <n v="9"/>
    <n v="4.3"/>
    <n v="197"/>
    <x v="1"/>
    <x v="1"/>
  </r>
  <r>
    <x v="31"/>
    <n v="980"/>
    <n v="1490"/>
    <n v="78"/>
    <n v="12"/>
    <n v="4.7"/>
    <n v="510"/>
    <x v="0"/>
    <x v="1"/>
  </r>
  <r>
    <x v="32"/>
    <n v="1820"/>
    <n v="3490"/>
    <n v="79"/>
    <n v="9"/>
    <n v="4.3"/>
    <n v="1670"/>
    <x v="1"/>
    <x v="1"/>
  </r>
  <r>
    <x v="33"/>
    <n v="1940"/>
    <n v="2650"/>
    <n v="80"/>
    <n v="20"/>
    <n v="4.7"/>
    <n v="710"/>
    <x v="0"/>
    <x v="1"/>
  </r>
  <r>
    <x v="34"/>
    <n v="1980"/>
    <n v="2699"/>
    <n v="81"/>
    <n v="32"/>
    <n v="4.5"/>
    <n v="719"/>
    <x v="0"/>
    <x v="1"/>
  </r>
  <r>
    <x v="35"/>
    <n v="1620"/>
    <n v="2690"/>
    <n v="82"/>
    <n v="1"/>
    <n v="5"/>
    <n v="1070"/>
    <x v="0"/>
    <x v="1"/>
  </r>
  <r>
    <x v="36"/>
    <n v="171"/>
    <n v="360"/>
    <n v="83"/>
    <n v="2"/>
    <n v="5"/>
    <n v="189"/>
    <x v="0"/>
    <x v="1"/>
  </r>
  <r>
    <x v="37"/>
    <n v="389"/>
    <n v="656"/>
    <n v="84"/>
    <n v="36"/>
    <n v="4.3"/>
    <n v="267"/>
    <x v="1"/>
    <x v="1"/>
  </r>
  <r>
    <x v="38"/>
    <n v="1800"/>
    <n v="2700"/>
    <n v="85"/>
    <n v="2"/>
    <n v="4.5"/>
    <n v="900"/>
    <x v="0"/>
    <x v="1"/>
  </r>
  <r>
    <x v="39"/>
    <n v="2750"/>
    <n v="4471"/>
    <n v="86"/>
    <m/>
    <m/>
    <n v="1721"/>
    <x v="2"/>
    <x v="1"/>
  </r>
  <r>
    <x v="40"/>
    <n v="475"/>
    <n v="931"/>
    <n v="87"/>
    <m/>
    <m/>
    <n v="456"/>
    <x v="2"/>
    <x v="1"/>
  </r>
  <r>
    <x v="41"/>
    <n v="238"/>
    <n v="476"/>
    <n v="88"/>
    <m/>
    <m/>
    <n v="238"/>
    <x v="2"/>
    <x v="1"/>
  </r>
  <r>
    <x v="42"/>
    <n v="610"/>
    <n v="1060"/>
    <n v="89"/>
    <m/>
    <m/>
    <n v="450"/>
    <x v="2"/>
    <x v="1"/>
  </r>
  <r>
    <x v="42"/>
    <n v="610"/>
    <n v="1060"/>
    <n v="90"/>
    <m/>
    <m/>
    <n v="450"/>
    <x v="2"/>
    <x v="1"/>
  </r>
  <r>
    <x v="43"/>
    <n v="2132"/>
    <n v="2169"/>
    <n v="91"/>
    <m/>
    <m/>
    <n v="37"/>
    <x v="2"/>
    <x v="1"/>
  </r>
  <r>
    <x v="44"/>
    <n v="999"/>
    <n v="2000"/>
    <n v="92"/>
    <m/>
    <m/>
    <n v="1001"/>
    <x v="2"/>
    <x v="1"/>
  </r>
  <r>
    <x v="45"/>
    <n v="1190"/>
    <n v="1785"/>
    <n v="93"/>
    <m/>
    <m/>
    <n v="595"/>
    <x v="2"/>
    <x v="1"/>
  </r>
  <r>
    <x v="46"/>
    <n v="671"/>
    <n v="1316"/>
    <n v="94"/>
    <m/>
    <m/>
    <n v="645"/>
    <x v="2"/>
    <x v="1"/>
  </r>
  <r>
    <x v="47"/>
    <n v="1200"/>
    <n v="1950"/>
    <n v="95"/>
    <m/>
    <m/>
    <n v="750"/>
    <x v="2"/>
    <x v="1"/>
  </r>
  <r>
    <x v="48"/>
    <n v="199"/>
    <n v="504"/>
    <n v="96"/>
    <m/>
    <m/>
    <n v="305"/>
    <x v="2"/>
    <x v="1"/>
  </r>
  <r>
    <x v="49"/>
    <n v="299"/>
    <n v="600"/>
    <n v="97"/>
    <m/>
    <m/>
    <n v="301"/>
    <x v="2"/>
    <x v="1"/>
  </r>
  <r>
    <x v="50"/>
    <n v="1660"/>
    <n v="1699"/>
    <n v="98"/>
    <m/>
    <m/>
    <n v="39"/>
    <x v="2"/>
    <x v="1"/>
  </r>
  <r>
    <x v="51"/>
    <n v="299"/>
    <n v="384"/>
    <n v="99"/>
    <m/>
    <m/>
    <n v="85"/>
    <x v="2"/>
    <x v="1"/>
  </r>
  <r>
    <x v="52"/>
    <n v="1459"/>
    <n v="1499"/>
    <n v="100"/>
    <m/>
    <m/>
    <n v="40"/>
    <x v="2"/>
    <x v="1"/>
  </r>
  <r>
    <x v="53"/>
    <n v="799"/>
    <n v="1343"/>
    <n v="101"/>
    <m/>
    <m/>
    <n v="544"/>
    <x v="2"/>
    <x v="1"/>
  </r>
  <r>
    <x v="54"/>
    <n v="499"/>
    <n v="900"/>
    <n v="102"/>
    <m/>
    <m/>
    <n v="401"/>
    <x v="2"/>
    <x v="1"/>
  </r>
  <r>
    <x v="55"/>
    <n v="699"/>
    <n v="1343"/>
    <n v="103"/>
    <m/>
    <m/>
    <n v="644"/>
    <x v="2"/>
    <x v="1"/>
  </r>
  <r>
    <x v="56"/>
    <n v="799"/>
    <n v="1567"/>
    <n v="104"/>
    <m/>
    <m/>
    <n v="768"/>
    <x v="2"/>
    <x v="1"/>
  </r>
  <r>
    <x v="57"/>
    <n v="2799"/>
    <n v="3810"/>
    <n v="105"/>
    <m/>
    <m/>
    <n v="1011"/>
    <x v="2"/>
    <x v="1"/>
  </r>
  <r>
    <x v="54"/>
    <n v="399"/>
    <n v="896"/>
    <n v="106"/>
    <m/>
    <m/>
    <n v="497"/>
    <x v="2"/>
    <x v="1"/>
  </r>
  <r>
    <x v="58"/>
    <n v="2170"/>
    <n v="2500"/>
    <n v="107"/>
    <n v="6"/>
    <n v="2.5"/>
    <n v="330"/>
    <x v="2"/>
    <x v="1"/>
  </r>
  <r>
    <x v="59"/>
    <n v="458"/>
    <n v="986"/>
    <n v="108"/>
    <n v="10"/>
    <n v="3"/>
    <n v="528"/>
    <x v="1"/>
    <x v="1"/>
  </r>
  <r>
    <x v="60"/>
    <n v="2115"/>
    <n v="4700"/>
    <n v="109"/>
    <n v="13"/>
    <n v="2.1"/>
    <n v="2585"/>
    <x v="2"/>
    <x v="1"/>
  </r>
  <r>
    <x v="61"/>
    <n v="445"/>
    <n v="873"/>
    <n v="110"/>
    <n v="69"/>
    <n v="2.8"/>
    <n v="428"/>
    <x v="2"/>
    <x v="1"/>
  </r>
  <r>
    <x v="62"/>
    <n v="325"/>
    <n v="680"/>
    <n v="111"/>
    <n v="15"/>
    <n v="2.7"/>
    <n v="355"/>
    <x v="2"/>
    <x v="1"/>
  </r>
  <r>
    <x v="63"/>
    <n v="1220"/>
    <n v="1555"/>
    <n v="112"/>
    <n v="16"/>
    <n v="2.9"/>
    <n v="335"/>
    <x v="2"/>
    <x v="1"/>
  </r>
  <r>
    <x v="64"/>
    <n v="990"/>
    <n v="1814"/>
    <n v="113"/>
    <n v="6"/>
    <n v="2.2000000000000002"/>
    <n v="824"/>
    <x v="2"/>
    <x v="1"/>
  </r>
  <r>
    <x v="65"/>
    <n v="1000"/>
    <n v="2000"/>
    <n v="114"/>
    <n v="7"/>
    <n v="2.2999999999999998"/>
    <n v="1000"/>
    <x v="2"/>
    <x v="1"/>
  </r>
  <r>
    <x v="66"/>
    <n v="3750"/>
    <n v="6143"/>
    <n v="115"/>
    <n v="5"/>
    <n v="3"/>
    <n v="2393"/>
    <x v="1"/>
    <x v="1"/>
  </r>
  <r>
    <x v="67"/>
    <n v="382"/>
    <n v="700"/>
    <n v="116"/>
    <n v="17"/>
    <n v="2.6"/>
    <n v="318"/>
    <x v="2"/>
    <x v="1"/>
  </r>
  <r>
    <x v="68"/>
    <n v="2300"/>
    <n v="3240"/>
    <n v="117"/>
    <n v="5"/>
    <n v="3"/>
    <n v="940"/>
    <x v="1"/>
    <x v="1"/>
  </r>
  <r>
    <x v="69"/>
    <n v="345"/>
    <n v="602"/>
    <n v="118"/>
    <n v="6"/>
    <n v="2.2999999999999998"/>
    <n v="257"/>
    <x v="2"/>
    <x v="1"/>
  </r>
  <r>
    <x v="70"/>
    <n v="509"/>
    <n v="899"/>
    <n v="119"/>
    <n v="5"/>
    <n v="3"/>
    <n v="390"/>
    <x v="1"/>
    <x v="1"/>
  </r>
  <r>
    <x v="71"/>
    <n v="968"/>
    <n v="1814"/>
    <n v="120"/>
    <n v="6"/>
    <n v="2.2000000000000002"/>
    <n v="846"/>
    <x v="2"/>
    <x v="1"/>
  </r>
  <r>
    <x v="72"/>
    <n v="1570"/>
    <n v="2988"/>
    <n v="121"/>
    <n v="7"/>
    <n v="2.1"/>
    <n v="1418"/>
    <x v="2"/>
    <x v="1"/>
  </r>
  <r>
    <x v="73"/>
    <n v="790"/>
    <n v="1485"/>
    <n v="122"/>
    <m/>
    <m/>
    <n v="695"/>
    <x v="2"/>
    <x v="1"/>
  </r>
  <r>
    <x v="74"/>
    <n v="690"/>
    <n v="1200"/>
    <n v="123"/>
    <m/>
    <m/>
    <n v="510"/>
    <x v="2"/>
    <x v="1"/>
  </r>
  <r>
    <x v="75"/>
    <n v="1732"/>
    <n v="1799"/>
    <n v="124"/>
    <m/>
    <m/>
    <n v="67"/>
    <x v="2"/>
    <x v="1"/>
  </r>
  <r>
    <x v="76"/>
    <n v="230"/>
    <n v="450"/>
    <n v="125"/>
    <m/>
    <m/>
    <n v="220"/>
    <x v="2"/>
    <x v="1"/>
  </r>
  <r>
    <x v="77"/>
    <n v="1189"/>
    <n v="2199"/>
    <n v="126"/>
    <n v="1"/>
    <n v="3"/>
    <n v="1010"/>
    <x v="1"/>
    <x v="1"/>
  </r>
  <r>
    <x v="78"/>
    <n v="979"/>
    <n v="1920"/>
    <n v="127"/>
    <n v="1"/>
    <n v="5"/>
    <n v="941"/>
    <x v="0"/>
    <x v="1"/>
  </r>
  <r>
    <x v="79"/>
    <n v="1460"/>
    <n v="2290"/>
    <n v="128"/>
    <m/>
    <m/>
    <n v="830"/>
    <x v="2"/>
    <x v="1"/>
  </r>
  <r>
    <x v="80"/>
    <n v="1666"/>
    <n v="1699"/>
    <n v="129"/>
    <m/>
    <m/>
    <n v="33"/>
    <x v="2"/>
    <x v="1"/>
  </r>
  <r>
    <x v="81"/>
    <n v="330"/>
    <n v="647"/>
    <n v="130"/>
    <n v="1"/>
    <n v="4"/>
    <n v="317"/>
    <x v="1"/>
    <x v="1"/>
  </r>
  <r>
    <x v="42"/>
    <n v="610"/>
    <n v="1060"/>
    <n v="131"/>
    <m/>
    <m/>
    <n v="450"/>
    <x v="2"/>
    <x v="1"/>
  </r>
  <r>
    <x v="48"/>
    <n v="176"/>
    <n v="345"/>
    <n v="132"/>
    <m/>
    <m/>
    <n v="169"/>
    <x v="2"/>
    <x v="1"/>
  </r>
  <r>
    <x v="82"/>
    <n v="1466"/>
    <n v="1699"/>
    <n v="133"/>
    <m/>
    <m/>
    <n v="233"/>
    <x v="2"/>
    <x v="1"/>
  </r>
  <r>
    <x v="83"/>
    <n v="274"/>
    <n v="537"/>
    <n v="134"/>
    <m/>
    <m/>
    <n v="263"/>
    <x v="2"/>
    <x v="1"/>
  </r>
  <r>
    <x v="84"/>
    <n v="799"/>
    <n v="900"/>
    <n v="135"/>
    <m/>
    <m/>
    <n v="101"/>
    <x v="2"/>
    <x v="1"/>
  </r>
  <r>
    <x v="56"/>
    <n v="657"/>
    <n v="1288"/>
    <n v="136"/>
    <m/>
    <m/>
    <n v="631"/>
    <x v="2"/>
    <x v="1"/>
  </r>
  <r>
    <x v="85"/>
    <n v="1468"/>
    <n v="1699"/>
    <n v="137"/>
    <m/>
    <m/>
    <n v="231"/>
    <x v="2"/>
    <x v="1"/>
  </r>
  <r>
    <x v="86"/>
    <n v="630"/>
    <n v="1100"/>
    <n v="138"/>
    <m/>
    <m/>
    <n v="470"/>
    <x v="2"/>
    <x v="1"/>
  </r>
  <r>
    <x v="87"/>
    <n v="850"/>
    <n v="1700"/>
    <n v="139"/>
    <m/>
    <m/>
    <n v="850"/>
    <x v="2"/>
    <x v="1"/>
  </r>
  <r>
    <x v="88"/>
    <n v="1300"/>
    <n v="2500"/>
    <n v="140"/>
    <m/>
    <m/>
    <n v="1200"/>
    <x v="2"/>
    <x v="1"/>
  </r>
  <r>
    <x v="89"/>
    <n v="105"/>
    <n v="200"/>
    <n v="141"/>
    <m/>
    <m/>
    <n v="95"/>
    <x v="2"/>
    <x v="1"/>
  </r>
  <r>
    <x v="90"/>
    <n v="899"/>
    <n v="1699"/>
    <n v="142"/>
    <m/>
    <m/>
    <n v="800"/>
    <x v="2"/>
    <x v="1"/>
  </r>
  <r>
    <x v="90"/>
    <n v="899"/>
    <n v="1699"/>
    <n v="143"/>
    <m/>
    <m/>
    <n v="800"/>
    <x v="2"/>
    <x v="1"/>
  </r>
  <r>
    <x v="91"/>
    <n v="1200"/>
    <n v="2400"/>
    <n v="144"/>
    <m/>
    <m/>
    <n v="1200"/>
    <x v="2"/>
    <x v="1"/>
  </r>
  <r>
    <x v="92"/>
    <n v="1526"/>
    <n v="1660"/>
    <n v="145"/>
    <m/>
    <m/>
    <n v="134"/>
    <x v="2"/>
    <x v="1"/>
  </r>
  <r>
    <x v="93"/>
    <n v="1462"/>
    <n v="1499"/>
    <n v="146"/>
    <m/>
    <m/>
    <n v="37"/>
    <x v="2"/>
    <x v="1"/>
  </r>
  <r>
    <x v="94"/>
    <n v="248"/>
    <n v="486"/>
    <n v="147"/>
    <m/>
    <m/>
    <n v="238"/>
    <x v="2"/>
    <x v="1"/>
  </r>
  <r>
    <x v="95"/>
    <n v="3546"/>
    <n v="3699"/>
    <n v="148"/>
    <m/>
    <m/>
    <n v="153"/>
    <x v="2"/>
    <x v="1"/>
  </r>
  <r>
    <x v="96"/>
    <n v="525"/>
    <n v="1029"/>
    <n v="149"/>
    <m/>
    <m/>
    <n v="504"/>
    <x v="2"/>
    <x v="1"/>
  </r>
  <r>
    <x v="97"/>
    <n v="1080"/>
    <n v="1874"/>
    <n v="150"/>
    <m/>
    <m/>
    <n v="794"/>
    <x v="2"/>
    <x v="1"/>
  </r>
  <r>
    <x v="98"/>
    <n v="3640"/>
    <n v="4588"/>
    <n v="151"/>
    <n v="1"/>
    <n v="5"/>
    <n v="948"/>
    <x v="0"/>
    <x v="1"/>
  </r>
  <r>
    <x v="99"/>
    <n v="1420"/>
    <n v="2420"/>
    <n v="152"/>
    <m/>
    <m/>
    <n v="1000"/>
    <x v="2"/>
    <x v="1"/>
  </r>
  <r>
    <x v="100"/>
    <n v="1875"/>
    <n v="1899"/>
    <n v="153"/>
    <m/>
    <m/>
    <n v="24"/>
    <x v="2"/>
    <x v="1"/>
  </r>
  <r>
    <x v="101"/>
    <n v="198"/>
    <n v="260"/>
    <n v="154"/>
    <m/>
    <m/>
    <n v="62"/>
    <x v="2"/>
    <x v="1"/>
  </r>
  <r>
    <x v="102"/>
    <n v="1150"/>
    <n v="1737"/>
    <n v="155"/>
    <m/>
    <m/>
    <n v="587"/>
    <x v="2"/>
    <x v="1"/>
  </r>
  <r>
    <x v="103"/>
    <n v="1190"/>
    <n v="1810"/>
    <n v="156"/>
    <m/>
    <m/>
    <n v="620"/>
    <x v="2"/>
    <x v="1"/>
  </r>
  <r>
    <x v="104"/>
    <n v="1658"/>
    <n v="1699"/>
    <n v="157"/>
    <m/>
    <m/>
    <n v="41"/>
    <x v="2"/>
    <x v="1"/>
  </r>
  <r>
    <x v="105"/>
    <n v="1768"/>
    <n v="1799"/>
    <n v="158"/>
    <m/>
    <m/>
    <n v="31"/>
    <x v="2"/>
    <x v="1"/>
  </r>
  <r>
    <x v="106"/>
    <n v="199"/>
    <n v="553"/>
    <n v="159"/>
    <m/>
    <m/>
    <n v="354"/>
    <x v="2"/>
    <x v="1"/>
  </r>
  <r>
    <x v="107"/>
    <n v="450"/>
    <n v="900"/>
    <n v="160"/>
    <n v="1"/>
    <n v="2"/>
    <n v="450"/>
    <x v="2"/>
    <x v="1"/>
  </r>
  <r>
    <x v="108"/>
    <n v="169"/>
    <n v="320"/>
    <n v="161"/>
    <m/>
    <m/>
    <n v="151"/>
    <x v="2"/>
    <x v="1"/>
  </r>
  <r>
    <x v="109"/>
    <m/>
    <m/>
    <m/>
    <m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40993-9CE1-404D-9B1D-92F399CB8E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4" firstHeaderRow="0" firstDataRow="1" firstDataCol="0"/>
  <pivotFields count="9"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RRENT PRICE (KSH" fld="1" subtotal="average" baseField="0" baseItem="1"/>
    <dataField name="Average of OLD PRICE (KSH)" fld="2" subtotal="average" baseField="0" baseItem="1"/>
    <dataField name="Average of DISCOUNT (%)" fld="3" subtotal="average" baseField="0" baseItem="1"/>
    <dataField name="Average of RATINGS (OUT OF 5)" fld="5" subtotal="average" baseField="0" baseItem="1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2A222-2880-4CA8-AE77-6E85CDFC39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4" firstHeaderRow="1" firstDataRow="1" firstDataCol="1"/>
  <pivotFields count="9">
    <pivotField axis="axisRow" showAll="0" sortType="descending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1">
    <i>
      <x v="16"/>
    </i>
    <i>
      <x v="65"/>
    </i>
    <i>
      <x v="78"/>
    </i>
    <i>
      <x v="75"/>
    </i>
    <i>
      <x v="11"/>
    </i>
    <i>
      <x v="93"/>
    </i>
    <i>
      <x v="6"/>
    </i>
    <i>
      <x v="71"/>
    </i>
    <i>
      <x v="8"/>
    </i>
    <i>
      <x v="66"/>
    </i>
    <i>
      <x v="82"/>
    </i>
    <i>
      <x v="91"/>
    </i>
    <i>
      <x v="25"/>
    </i>
    <i>
      <x v="97"/>
    </i>
    <i>
      <x v="30"/>
    </i>
    <i>
      <x v="67"/>
    </i>
    <i>
      <x v="68"/>
    </i>
    <i>
      <x v="27"/>
    </i>
    <i>
      <x v="28"/>
    </i>
    <i>
      <x v="12"/>
    </i>
    <i>
      <x v="24"/>
    </i>
    <i>
      <x v="43"/>
    </i>
    <i>
      <x v="72"/>
    </i>
    <i>
      <x/>
    </i>
    <i>
      <x v="32"/>
    </i>
    <i>
      <x v="100"/>
    </i>
    <i>
      <x v="26"/>
    </i>
    <i>
      <x v="90"/>
    </i>
    <i>
      <x v="54"/>
    </i>
    <i>
      <x v="80"/>
    </i>
    <i>
      <x v="10"/>
    </i>
    <i>
      <x v="88"/>
    </i>
    <i>
      <x v="98"/>
    </i>
    <i>
      <x v="61"/>
    </i>
    <i>
      <x v="57"/>
    </i>
    <i>
      <x v="7"/>
    </i>
    <i>
      <x v="107"/>
    </i>
    <i>
      <x v="58"/>
    </i>
    <i>
      <x v="103"/>
    </i>
    <i>
      <x v="105"/>
    </i>
    <i>
      <x v="85"/>
    </i>
    <i>
      <x v="92"/>
    </i>
    <i>
      <x v="29"/>
    </i>
    <i>
      <x v="83"/>
    </i>
    <i>
      <x v="39"/>
    </i>
    <i>
      <x v="37"/>
    </i>
    <i>
      <x v="3"/>
    </i>
    <i>
      <x v="94"/>
    </i>
    <i>
      <x v="70"/>
    </i>
    <i>
      <x v="101"/>
    </i>
    <i>
      <x v="13"/>
    </i>
    <i>
      <x v="14"/>
    </i>
    <i>
      <x v="49"/>
    </i>
    <i>
      <x v="33"/>
    </i>
    <i>
      <x v="76"/>
    </i>
    <i>
      <x v="74"/>
    </i>
    <i>
      <x v="36"/>
    </i>
    <i>
      <x v="17"/>
    </i>
    <i>
      <x v="50"/>
    </i>
    <i>
      <x v="18"/>
    </i>
    <i>
      <x v="41"/>
    </i>
    <i>
      <x v="1"/>
    </i>
    <i>
      <x v="56"/>
    </i>
    <i>
      <x v="4"/>
    </i>
    <i>
      <x v="44"/>
    </i>
    <i>
      <x v="35"/>
    </i>
    <i>
      <x v="2"/>
    </i>
    <i>
      <x v="99"/>
    </i>
    <i>
      <x v="73"/>
    </i>
    <i>
      <x v="102"/>
    </i>
    <i>
      <x v="86"/>
    </i>
    <i>
      <x v="62"/>
    </i>
    <i>
      <x v="55"/>
    </i>
    <i>
      <x v="15"/>
    </i>
    <i>
      <x v="51"/>
    </i>
    <i>
      <x v="19"/>
    </i>
    <i>
      <x v="47"/>
    </i>
    <i>
      <x v="81"/>
    </i>
    <i>
      <x v="22"/>
    </i>
    <i>
      <x v="77"/>
    </i>
    <i>
      <x v="42"/>
    </i>
    <i>
      <x v="108"/>
    </i>
    <i>
      <x v="69"/>
    </i>
    <i>
      <x v="23"/>
    </i>
    <i>
      <x v="84"/>
    </i>
    <i>
      <x v="104"/>
    </i>
    <i>
      <x v="5"/>
    </i>
    <i>
      <x v="59"/>
    </i>
    <i>
      <x v="95"/>
    </i>
    <i>
      <x v="38"/>
    </i>
    <i>
      <x v="53"/>
    </i>
    <i>
      <x v="106"/>
    </i>
    <i>
      <x v="40"/>
    </i>
    <i>
      <x v="63"/>
    </i>
    <i>
      <x v="64"/>
    </i>
    <i>
      <x v="46"/>
    </i>
    <i>
      <x v="89"/>
    </i>
    <i>
      <x v="48"/>
    </i>
    <i>
      <x v="21"/>
    </i>
    <i>
      <x v="79"/>
    </i>
    <i>
      <x v="34"/>
    </i>
    <i>
      <x v="31"/>
    </i>
    <i>
      <x v="9"/>
    </i>
    <i>
      <x v="87"/>
    </i>
    <i>
      <x v="60"/>
    </i>
    <i>
      <x v="52"/>
    </i>
    <i>
      <x v="45"/>
    </i>
    <i>
      <x v="96"/>
    </i>
    <i>
      <x v="20"/>
    </i>
    <i>
      <x v="109"/>
    </i>
    <i t="grand">
      <x/>
    </i>
  </rowItems>
  <colItems count="1">
    <i/>
  </colItems>
  <dataFields count="1">
    <dataField name="Sum of CURRENT PRICE (KSH" fld="1" baseField="0" baseItem="0"/>
  </dataFields>
  <formats count="2">
    <format dxfId="9">
      <pivotArea dataOnly="0" fieldPosition="0">
        <references count="1">
          <reference field="0" count="1">
            <x v="16"/>
          </reference>
        </references>
      </pivotArea>
    </format>
    <format dxfId="8">
      <pivotArea dataOnly="0" fieldPosition="0">
        <references count="1">
          <reference field="0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FD215-0C3F-4DB1-AA7C-D7975EC988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9">
    <pivotField axis="axisPage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1" hier="-1"/>
  </pageFields>
  <dataFields count="2">
    <dataField name="Average of RATINGS (OUT OF 5)" fld="5" subtotal="average" baseField="8" baseItem="0"/>
    <dataField name="Average of DISCOUNT (%)" fld="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7D94E-99A6-40F8-BE18-6B99573461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dataField="1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BF6F-1287-4727-8825-A2A42D493A0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4" firstHeaderRow="0" firstDataRow="1" firstDataCol="1"/>
  <pivotFields count="9">
    <pivotField axis="axisRow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 (%)" fld="3" subtotal="average" baseField="0" baseItem="0"/>
    <dataField name="Sum of NOS. OF REVIEW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0535E-BB74-4199-AC4E-A1D6322E0BA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4" firstHeaderRow="0" firstDataRow="1" firstDataCol="1"/>
  <pivotFields count="9">
    <pivotField axis="axisRow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S (OUT OF 5)" fld="5" subtotal="average" baseField="0" baseItem="0"/>
    <dataField name="Average of NOS. OF REVIEW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61DE3-1AA1-4CA5-82AC-FE718A6A21A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9">
    <pivotField axis="axisRow" showAll="0" measureFilter="1" sortType="descending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45"/>
    </i>
    <i>
      <x v="104"/>
    </i>
    <i>
      <x v="31"/>
    </i>
    <i>
      <x v="100"/>
    </i>
    <i>
      <x v="98"/>
    </i>
    <i>
      <x v="49"/>
    </i>
    <i>
      <x v="74"/>
    </i>
    <i>
      <x v="9"/>
    </i>
    <i>
      <x v="12"/>
    </i>
    <i>
      <x v="37"/>
    </i>
    <i t="grand">
      <x/>
    </i>
  </rowItems>
  <colItems count="1">
    <i/>
  </colItems>
  <dataFields count="1">
    <dataField name="Average of DISCOUNT (%)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A486B-72E5-47A3-9E55-37FCF47F94C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9">
    <pivotField axis="axisRow" showAll="0" measureFilter="1" sortType="descending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5"/>
    </i>
    <i>
      <x v="8"/>
    </i>
    <i>
      <x v="59"/>
    </i>
    <i>
      <x v="18"/>
    </i>
    <i>
      <x v="1"/>
    </i>
    <i>
      <x v="95"/>
    </i>
    <i>
      <x v="27"/>
    </i>
    <i>
      <x v="91"/>
    </i>
    <i>
      <x v="28"/>
    </i>
    <i>
      <x v="26"/>
    </i>
    <i t="grand">
      <x/>
    </i>
  </rowItems>
  <colItems count="1">
    <i/>
  </colItems>
  <dataFields count="1">
    <dataField name="Sum of NOS. OF REVIEW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446CC-1249-4E8E-94AF-87443B0E360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9">
    <pivotField axis="axisRow" showAll="0" measureFilter="1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 v="40"/>
    </i>
    <i>
      <x v="44"/>
    </i>
    <i>
      <x v="52"/>
    </i>
    <i>
      <x v="57"/>
    </i>
    <i>
      <x v="65"/>
    </i>
    <i>
      <x v="68"/>
    </i>
    <i>
      <x v="87"/>
    </i>
    <i t="grand">
      <x/>
    </i>
  </rowItems>
  <colItems count="1">
    <i/>
  </colItems>
  <dataFields count="1">
    <dataField name="Average of RATINGS (OUT OF 5)" fld="5" subtotal="average" baseField="0" baseItem="0"/>
  </dataFields>
  <chartFormats count="1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0547A-E621-428B-BF1E-D2BE2794BBD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axis="axisRow" showAll="0" measureFilter="1" sortType="ascending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 v="104"/>
    </i>
    <i>
      <x v="30"/>
    </i>
    <i>
      <x v="58"/>
    </i>
    <i>
      <x v="41"/>
    </i>
    <i>
      <x v="35"/>
    </i>
    <i t="grand">
      <x/>
    </i>
  </rowItems>
  <colItems count="1">
    <i/>
  </colItems>
  <dataFields count="1">
    <dataField name="Sum of RATINGS (OUT OF 5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Between" evalOrder="-1" id="2" iMeasureFld="0">
      <autoFilter ref="A1">
        <filterColumn colId="0">
          <customFilters and="1">
            <customFilter operator="greaterThanOrEqual" val="2"/>
            <customFilter operator="lessThanOrEqual" val="2.200000000000000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F8C6D-7930-4012-B124-DDC44A1D187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6" firstHeaderRow="0" firstDataRow="1" firstDataCol="1"/>
  <pivotFields count="9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1"/>
        <item x="2"/>
        <item h="1"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S (OUT OF 5)" fld="5" subtotal="average" baseField="8" baseItem="0"/>
    <dataField name="Average of NOS. OF REVIEWS" fld="4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21B1-FBF7-4375-89D4-B00654AC9234}">
  <dimension ref="A1:F116"/>
  <sheetViews>
    <sheetView workbookViewId="0">
      <selection activeCell="D9" sqref="D9"/>
    </sheetView>
  </sheetViews>
  <sheetFormatPr defaultRowHeight="13.8"/>
  <cols>
    <col min="1" max="1" width="73" customWidth="1"/>
    <col min="2" max="2" width="11.3984375" customWidth="1"/>
    <col min="3" max="3" width="15.296875" customWidth="1"/>
    <col min="4" max="5" width="13.296875" customWidth="1"/>
    <col min="6" max="6" width="12.898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0.38</v>
      </c>
      <c r="E2">
        <v>-2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1">
        <v>0.47</v>
      </c>
      <c r="E3">
        <v>-14</v>
      </c>
      <c r="F3" t="s">
        <v>13</v>
      </c>
    </row>
    <row r="4" spans="1:6">
      <c r="A4" t="s">
        <v>14</v>
      </c>
      <c r="B4" t="s">
        <v>15</v>
      </c>
      <c r="C4" t="s">
        <v>16</v>
      </c>
      <c r="D4" s="1">
        <v>0.25</v>
      </c>
      <c r="E4">
        <v>-24</v>
      </c>
      <c r="F4" t="s">
        <v>17</v>
      </c>
    </row>
    <row r="5" spans="1:6">
      <c r="A5" t="s">
        <v>18</v>
      </c>
      <c r="B5" t="s">
        <v>19</v>
      </c>
      <c r="C5" t="s">
        <v>20</v>
      </c>
      <c r="D5" s="1">
        <v>0.37</v>
      </c>
      <c r="E5">
        <v>-7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1">
        <v>0.26</v>
      </c>
      <c r="E6">
        <v>-5</v>
      </c>
      <c r="F6" t="s">
        <v>25</v>
      </c>
    </row>
    <row r="7" spans="1:6">
      <c r="A7" t="s">
        <v>26</v>
      </c>
      <c r="B7" t="s">
        <v>27</v>
      </c>
      <c r="C7" t="s">
        <v>28</v>
      </c>
      <c r="D7" s="1">
        <v>0.09</v>
      </c>
      <c r="E7">
        <v>-15</v>
      </c>
      <c r="F7" t="s">
        <v>29</v>
      </c>
    </row>
    <row r="8" spans="1:6">
      <c r="A8" t="s">
        <v>30</v>
      </c>
      <c r="B8" t="s">
        <v>31</v>
      </c>
      <c r="C8" t="s">
        <v>32</v>
      </c>
      <c r="D8" s="1">
        <v>0.24</v>
      </c>
      <c r="E8">
        <v>-55</v>
      </c>
      <c r="F8" t="s">
        <v>17</v>
      </c>
    </row>
    <row r="9" spans="1:6">
      <c r="A9" t="s">
        <v>33</v>
      </c>
      <c r="B9" t="s">
        <v>34</v>
      </c>
      <c r="C9" t="s">
        <v>19</v>
      </c>
      <c r="D9" s="1">
        <v>0.37</v>
      </c>
      <c r="E9">
        <v>-2</v>
      </c>
      <c r="F9" t="s">
        <v>29</v>
      </c>
    </row>
    <row r="10" spans="1:6">
      <c r="A10" t="s">
        <v>35</v>
      </c>
      <c r="B10" t="s">
        <v>36</v>
      </c>
      <c r="C10" t="s">
        <v>37</v>
      </c>
      <c r="D10" s="1">
        <v>0.55000000000000004</v>
      </c>
      <c r="E10">
        <v>-5</v>
      </c>
      <c r="F10" t="s">
        <v>25</v>
      </c>
    </row>
    <row r="11" spans="1:6">
      <c r="A11" t="s">
        <v>38</v>
      </c>
      <c r="B11" t="s">
        <v>39</v>
      </c>
      <c r="C11" t="s">
        <v>40</v>
      </c>
      <c r="D11" s="1">
        <v>0.45</v>
      </c>
      <c r="E11">
        <v>-5</v>
      </c>
      <c r="F11" t="s">
        <v>41</v>
      </c>
    </row>
    <row r="12" spans="1:6">
      <c r="A12" t="s">
        <v>42</v>
      </c>
      <c r="B12" t="s">
        <v>43</v>
      </c>
      <c r="C12" t="s">
        <v>12</v>
      </c>
      <c r="D12" s="1">
        <v>0.2</v>
      </c>
      <c r="E12">
        <v>-12</v>
      </c>
      <c r="F12" t="s">
        <v>13</v>
      </c>
    </row>
    <row r="13" spans="1:6">
      <c r="A13" t="s">
        <v>44</v>
      </c>
      <c r="B13" t="s">
        <v>45</v>
      </c>
      <c r="C13" t="s">
        <v>46</v>
      </c>
      <c r="D13" s="1">
        <v>0.34</v>
      </c>
      <c r="E13">
        <v>-39</v>
      </c>
      <c r="F13" t="s">
        <v>21</v>
      </c>
    </row>
    <row r="14" spans="1:6">
      <c r="A14" t="s">
        <v>47</v>
      </c>
      <c r="B14" t="s">
        <v>48</v>
      </c>
      <c r="C14" t="s">
        <v>49</v>
      </c>
      <c r="D14" s="1">
        <v>0.47</v>
      </c>
      <c r="E14">
        <v>-12</v>
      </c>
      <c r="F14" t="s">
        <v>25</v>
      </c>
    </row>
    <row r="15" spans="1:6">
      <c r="A15" t="s">
        <v>50</v>
      </c>
      <c r="B15" t="s">
        <v>51</v>
      </c>
      <c r="C15" t="s">
        <v>52</v>
      </c>
      <c r="D15" s="1">
        <v>0.42</v>
      </c>
      <c r="E15">
        <v>-6</v>
      </c>
      <c r="F15" t="s">
        <v>9</v>
      </c>
    </row>
    <row r="16" spans="1:6">
      <c r="A16" t="s">
        <v>53</v>
      </c>
      <c r="B16" t="s">
        <v>54</v>
      </c>
      <c r="C16" t="s">
        <v>20</v>
      </c>
      <c r="D16" s="1">
        <v>0.33</v>
      </c>
      <c r="E16">
        <v>-9</v>
      </c>
      <c r="F16" t="s">
        <v>55</v>
      </c>
    </row>
    <row r="17" spans="1:6">
      <c r="A17" t="s">
        <v>56</v>
      </c>
      <c r="B17" t="s">
        <v>57</v>
      </c>
      <c r="C17" t="s">
        <v>58</v>
      </c>
      <c r="D17" s="1">
        <v>0.51</v>
      </c>
      <c r="E17">
        <v>-2</v>
      </c>
      <c r="F17" t="s">
        <v>59</v>
      </c>
    </row>
    <row r="18" spans="1:6">
      <c r="A18" t="s">
        <v>60</v>
      </c>
      <c r="B18" t="s">
        <v>61</v>
      </c>
      <c r="C18" t="s">
        <v>62</v>
      </c>
      <c r="D18" s="1">
        <v>0.46</v>
      </c>
      <c r="E18">
        <v>-2</v>
      </c>
      <c r="F18" t="s">
        <v>59</v>
      </c>
    </row>
    <row r="19" spans="1:6">
      <c r="A19" t="s">
        <v>63</v>
      </c>
      <c r="B19" t="s">
        <v>64</v>
      </c>
      <c r="C19" t="s">
        <v>65</v>
      </c>
      <c r="D19" s="1">
        <v>0.49</v>
      </c>
      <c r="E19">
        <v>-3</v>
      </c>
      <c r="F19" t="s">
        <v>59</v>
      </c>
    </row>
    <row r="20" spans="1:6">
      <c r="A20" t="s">
        <v>66</v>
      </c>
      <c r="B20" t="s">
        <v>27</v>
      </c>
      <c r="C20" t="s">
        <v>67</v>
      </c>
      <c r="D20" s="1">
        <v>0.19</v>
      </c>
      <c r="E20">
        <v>-5</v>
      </c>
      <c r="F20" t="s">
        <v>17</v>
      </c>
    </row>
    <row r="21" spans="1:6">
      <c r="A21" t="s">
        <v>68</v>
      </c>
      <c r="B21" t="s">
        <v>69</v>
      </c>
      <c r="C21" t="s">
        <v>70</v>
      </c>
      <c r="D21" s="1">
        <v>0.49</v>
      </c>
      <c r="E21">
        <v>-44</v>
      </c>
      <c r="F21" t="s">
        <v>17</v>
      </c>
    </row>
    <row r="22" spans="1:6">
      <c r="A22" t="s">
        <v>71</v>
      </c>
      <c r="B22" t="s">
        <v>72</v>
      </c>
      <c r="C22" t="s">
        <v>73</v>
      </c>
      <c r="D22" s="1">
        <v>0.53</v>
      </c>
      <c r="E22">
        <v>-13</v>
      </c>
      <c r="F22" t="s">
        <v>74</v>
      </c>
    </row>
    <row r="23" spans="1:6">
      <c r="A23" t="s">
        <v>75</v>
      </c>
      <c r="B23" t="s">
        <v>76</v>
      </c>
      <c r="C23" t="s">
        <v>77</v>
      </c>
      <c r="D23" s="1">
        <v>0.42</v>
      </c>
    </row>
    <row r="24" spans="1:6">
      <c r="A24" t="s">
        <v>78</v>
      </c>
      <c r="B24" t="s">
        <v>79</v>
      </c>
      <c r="C24" t="s">
        <v>80</v>
      </c>
      <c r="D24" s="1">
        <v>0.35</v>
      </c>
      <c r="E24">
        <v>-6</v>
      </c>
      <c r="F24" t="s">
        <v>29</v>
      </c>
    </row>
    <row r="25" spans="1:6">
      <c r="A25" t="s">
        <v>81</v>
      </c>
      <c r="B25" t="s">
        <v>82</v>
      </c>
      <c r="C25" t="s">
        <v>83</v>
      </c>
      <c r="D25" s="1">
        <v>0.23</v>
      </c>
      <c r="E25">
        <v>-14</v>
      </c>
      <c r="F25" t="s">
        <v>84</v>
      </c>
    </row>
    <row r="26" spans="1:6">
      <c r="A26" t="s">
        <v>85</v>
      </c>
      <c r="B26" t="s">
        <v>86</v>
      </c>
      <c r="C26" t="s">
        <v>87</v>
      </c>
      <c r="D26" s="1">
        <v>0.54</v>
      </c>
      <c r="E26">
        <v>-7</v>
      </c>
      <c r="F26" t="s">
        <v>88</v>
      </c>
    </row>
    <row r="27" spans="1:6">
      <c r="A27" t="s">
        <v>89</v>
      </c>
      <c r="B27" t="s">
        <v>90</v>
      </c>
      <c r="C27" t="s">
        <v>91</v>
      </c>
      <c r="D27" s="1">
        <v>0.35</v>
      </c>
      <c r="E27">
        <v>-49</v>
      </c>
      <c r="F27" t="s">
        <v>17</v>
      </c>
    </row>
    <row r="28" spans="1:6">
      <c r="A28" t="s">
        <v>92</v>
      </c>
      <c r="B28" t="s">
        <v>93</v>
      </c>
      <c r="C28" t="s">
        <v>94</v>
      </c>
      <c r="D28" s="1">
        <v>0.18</v>
      </c>
      <c r="E28">
        <v>-12</v>
      </c>
      <c r="F28" t="s">
        <v>41</v>
      </c>
    </row>
    <row r="29" spans="1:6">
      <c r="A29" t="s">
        <v>95</v>
      </c>
      <c r="B29" t="s">
        <v>80</v>
      </c>
      <c r="C29" t="s">
        <v>96</v>
      </c>
      <c r="D29" s="1">
        <v>0.32</v>
      </c>
      <c r="E29">
        <v>-13</v>
      </c>
      <c r="F29" t="s">
        <v>41</v>
      </c>
    </row>
    <row r="30" spans="1:6">
      <c r="A30" t="s">
        <v>97</v>
      </c>
      <c r="B30" t="s">
        <v>98</v>
      </c>
      <c r="C30" t="s">
        <v>20</v>
      </c>
      <c r="D30" s="1">
        <v>0.3</v>
      </c>
      <c r="E30">
        <v>-20</v>
      </c>
      <c r="F30" t="s">
        <v>13</v>
      </c>
    </row>
    <row r="31" spans="1:6">
      <c r="A31" t="s">
        <v>99</v>
      </c>
      <c r="B31" t="s">
        <v>100</v>
      </c>
      <c r="C31" t="s">
        <v>101</v>
      </c>
      <c r="D31" s="1">
        <v>0.46</v>
      </c>
    </row>
    <row r="32" spans="1:6">
      <c r="A32" t="s">
        <v>102</v>
      </c>
      <c r="B32" t="s">
        <v>103</v>
      </c>
      <c r="C32" t="s">
        <v>104</v>
      </c>
      <c r="D32" s="1">
        <v>0.52</v>
      </c>
      <c r="E32">
        <v>-9</v>
      </c>
      <c r="F32" t="s">
        <v>88</v>
      </c>
    </row>
    <row r="33" spans="1:6">
      <c r="A33" t="s">
        <v>105</v>
      </c>
      <c r="B33" t="s">
        <v>106</v>
      </c>
      <c r="C33" t="s">
        <v>107</v>
      </c>
      <c r="D33" s="1">
        <v>0.34</v>
      </c>
      <c r="E33">
        <v>-12</v>
      </c>
      <c r="F33" t="s">
        <v>21</v>
      </c>
    </row>
    <row r="34" spans="1:6">
      <c r="A34" t="s">
        <v>108</v>
      </c>
      <c r="B34" t="s">
        <v>109</v>
      </c>
      <c r="C34" t="s">
        <v>110</v>
      </c>
      <c r="D34" s="1">
        <v>0.48</v>
      </c>
      <c r="E34">
        <v>-9</v>
      </c>
      <c r="F34" t="s">
        <v>88</v>
      </c>
    </row>
    <row r="35" spans="1:6">
      <c r="A35" t="s">
        <v>111</v>
      </c>
      <c r="B35" t="s">
        <v>112</v>
      </c>
      <c r="C35" t="s">
        <v>113</v>
      </c>
      <c r="D35" s="1">
        <v>0.27</v>
      </c>
      <c r="E35">
        <v>-20</v>
      </c>
      <c r="F35" t="s">
        <v>21</v>
      </c>
    </row>
    <row r="36" spans="1:6">
      <c r="A36" t="s">
        <v>114</v>
      </c>
      <c r="B36" t="s">
        <v>115</v>
      </c>
      <c r="C36" t="s">
        <v>116</v>
      </c>
      <c r="D36" s="1">
        <v>0.27</v>
      </c>
      <c r="E36">
        <v>-32</v>
      </c>
      <c r="F36" t="s">
        <v>9</v>
      </c>
    </row>
    <row r="37" spans="1:6">
      <c r="A37" t="s">
        <v>117</v>
      </c>
      <c r="B37" t="s">
        <v>118</v>
      </c>
      <c r="C37" t="s">
        <v>119</v>
      </c>
      <c r="D37" s="1">
        <v>0.4</v>
      </c>
      <c r="E37">
        <v>-1</v>
      </c>
      <c r="F37" t="s">
        <v>59</v>
      </c>
    </row>
    <row r="38" spans="1:6">
      <c r="A38" t="s">
        <v>120</v>
      </c>
      <c r="B38" t="s">
        <v>121</v>
      </c>
      <c r="C38" t="s">
        <v>62</v>
      </c>
      <c r="D38" s="1">
        <v>0.53</v>
      </c>
      <c r="E38">
        <v>-2</v>
      </c>
      <c r="F38" t="s">
        <v>59</v>
      </c>
    </row>
    <row r="39" spans="1:6">
      <c r="A39" t="s">
        <v>122</v>
      </c>
      <c r="B39" t="s">
        <v>123</v>
      </c>
      <c r="C39" t="s">
        <v>124</v>
      </c>
      <c r="D39" s="1">
        <v>0.41</v>
      </c>
      <c r="E39">
        <v>-36</v>
      </c>
      <c r="F39" t="s">
        <v>88</v>
      </c>
    </row>
    <row r="40" spans="1:6">
      <c r="A40" t="s">
        <v>125</v>
      </c>
      <c r="B40" t="s">
        <v>126</v>
      </c>
      <c r="C40" t="s">
        <v>127</v>
      </c>
      <c r="D40" s="1">
        <v>0.38</v>
      </c>
      <c r="E40">
        <v>-2</v>
      </c>
      <c r="F40" t="s">
        <v>9</v>
      </c>
    </row>
    <row r="41" spans="1:6">
      <c r="A41" t="s">
        <v>128</v>
      </c>
      <c r="B41" t="s">
        <v>129</v>
      </c>
      <c r="C41" t="s">
        <v>130</v>
      </c>
      <c r="D41" s="1">
        <v>0.38</v>
      </c>
    </row>
    <row r="42" spans="1:6">
      <c r="A42" t="s">
        <v>131</v>
      </c>
      <c r="B42" t="s">
        <v>132</v>
      </c>
      <c r="C42" t="s">
        <v>133</v>
      </c>
      <c r="D42" s="1">
        <v>0.49</v>
      </c>
    </row>
    <row r="43" spans="1:6">
      <c r="A43" t="s">
        <v>134</v>
      </c>
      <c r="B43" t="s">
        <v>135</v>
      </c>
      <c r="C43" t="s">
        <v>136</v>
      </c>
      <c r="D43" s="1">
        <v>0.5</v>
      </c>
    </row>
    <row r="44" spans="1:6">
      <c r="A44" t="s">
        <v>137</v>
      </c>
      <c r="B44" t="s">
        <v>138</v>
      </c>
      <c r="C44" t="s">
        <v>139</v>
      </c>
      <c r="D44" s="1">
        <v>0.42</v>
      </c>
    </row>
    <row r="45" spans="1:6">
      <c r="A45" t="s">
        <v>137</v>
      </c>
      <c r="B45" t="s">
        <v>138</v>
      </c>
      <c r="C45" t="s">
        <v>139</v>
      </c>
      <c r="D45" s="1">
        <v>0.42</v>
      </c>
    </row>
    <row r="46" spans="1:6">
      <c r="A46" t="s">
        <v>140</v>
      </c>
      <c r="B46" t="s">
        <v>141</v>
      </c>
      <c r="C46" t="s">
        <v>142</v>
      </c>
      <c r="D46" s="1">
        <v>0.02</v>
      </c>
    </row>
    <row r="47" spans="1:6">
      <c r="A47" t="s">
        <v>143</v>
      </c>
      <c r="B47" t="s">
        <v>12</v>
      </c>
      <c r="C47" t="s">
        <v>144</v>
      </c>
      <c r="D47" s="1">
        <v>0.5</v>
      </c>
    </row>
    <row r="48" spans="1:6">
      <c r="A48" t="s">
        <v>145</v>
      </c>
      <c r="B48" t="s">
        <v>146</v>
      </c>
      <c r="C48" t="s">
        <v>147</v>
      </c>
      <c r="D48" s="1">
        <v>0.33</v>
      </c>
    </row>
    <row r="49" spans="1:6">
      <c r="A49" t="s">
        <v>148</v>
      </c>
      <c r="B49" t="s">
        <v>149</v>
      </c>
      <c r="C49" t="s">
        <v>150</v>
      </c>
      <c r="D49" s="1">
        <v>0.49</v>
      </c>
    </row>
    <row r="50" spans="1:6">
      <c r="A50" t="s">
        <v>151</v>
      </c>
      <c r="B50" t="s">
        <v>152</v>
      </c>
      <c r="C50" t="s">
        <v>153</v>
      </c>
      <c r="D50" s="1">
        <v>0.38</v>
      </c>
    </row>
    <row r="51" spans="1:6">
      <c r="A51" t="s">
        <v>154</v>
      </c>
      <c r="B51" t="s">
        <v>155</v>
      </c>
      <c r="C51" t="s">
        <v>156</v>
      </c>
      <c r="D51" s="1">
        <v>0.61</v>
      </c>
    </row>
    <row r="52" spans="1:6">
      <c r="A52" t="s">
        <v>157</v>
      </c>
      <c r="B52" t="s">
        <v>158</v>
      </c>
      <c r="C52" t="s">
        <v>159</v>
      </c>
      <c r="D52" s="1">
        <v>0.5</v>
      </c>
    </row>
    <row r="53" spans="1:6">
      <c r="A53" t="s">
        <v>160</v>
      </c>
      <c r="B53" t="s">
        <v>161</v>
      </c>
      <c r="C53" t="s">
        <v>162</v>
      </c>
      <c r="D53" s="1">
        <v>0.02</v>
      </c>
    </row>
    <row r="54" spans="1:6">
      <c r="A54" t="s">
        <v>163</v>
      </c>
      <c r="B54" t="s">
        <v>158</v>
      </c>
      <c r="C54" t="s">
        <v>164</v>
      </c>
      <c r="D54" s="1">
        <v>0.22</v>
      </c>
    </row>
    <row r="55" spans="1:6">
      <c r="A55" t="s">
        <v>165</v>
      </c>
      <c r="B55" t="s">
        <v>166</v>
      </c>
      <c r="C55" t="s">
        <v>167</v>
      </c>
      <c r="D55" s="1">
        <v>0.03</v>
      </c>
    </row>
    <row r="56" spans="1:6">
      <c r="A56" t="s">
        <v>168</v>
      </c>
      <c r="B56" t="s">
        <v>43</v>
      </c>
      <c r="C56" t="s">
        <v>169</v>
      </c>
      <c r="D56" s="1">
        <v>0.41</v>
      </c>
    </row>
    <row r="57" spans="1:6">
      <c r="A57" t="s">
        <v>170</v>
      </c>
      <c r="B57" t="s">
        <v>171</v>
      </c>
      <c r="C57" t="s">
        <v>172</v>
      </c>
      <c r="D57" s="1">
        <v>0.45</v>
      </c>
    </row>
    <row r="58" spans="1:6">
      <c r="A58" t="s">
        <v>173</v>
      </c>
      <c r="B58" t="s">
        <v>174</v>
      </c>
      <c r="C58" t="s">
        <v>169</v>
      </c>
      <c r="D58" s="1">
        <v>0.48</v>
      </c>
    </row>
    <row r="59" spans="1:6">
      <c r="A59" t="s">
        <v>175</v>
      </c>
      <c r="B59" t="s">
        <v>43</v>
      </c>
      <c r="C59" t="s">
        <v>176</v>
      </c>
      <c r="D59" s="1">
        <v>0.49</v>
      </c>
    </row>
    <row r="60" spans="1:6">
      <c r="A60" t="s">
        <v>177</v>
      </c>
      <c r="B60" t="s">
        <v>178</v>
      </c>
      <c r="C60" t="s">
        <v>179</v>
      </c>
      <c r="D60" s="1">
        <v>0.27</v>
      </c>
    </row>
    <row r="61" spans="1:6">
      <c r="A61" t="s">
        <v>170</v>
      </c>
      <c r="B61" t="s">
        <v>180</v>
      </c>
      <c r="C61" t="s">
        <v>181</v>
      </c>
      <c r="D61" s="1">
        <v>0.55000000000000004</v>
      </c>
    </row>
    <row r="62" spans="1:6">
      <c r="A62" t="s">
        <v>182</v>
      </c>
      <c r="B62" t="s">
        <v>183</v>
      </c>
      <c r="C62" t="s">
        <v>184</v>
      </c>
      <c r="D62" s="1">
        <v>0.13</v>
      </c>
      <c r="E62">
        <v>-6</v>
      </c>
      <c r="F62" t="s">
        <v>185</v>
      </c>
    </row>
    <row r="63" spans="1:6">
      <c r="A63" t="s">
        <v>186</v>
      </c>
      <c r="B63" t="s">
        <v>187</v>
      </c>
      <c r="C63" t="s">
        <v>188</v>
      </c>
      <c r="D63" s="1">
        <v>0.54</v>
      </c>
      <c r="E63">
        <v>-10</v>
      </c>
      <c r="F63" t="s">
        <v>189</v>
      </c>
    </row>
    <row r="64" spans="1:6">
      <c r="A64" t="s">
        <v>190</v>
      </c>
      <c r="B64" t="s">
        <v>191</v>
      </c>
      <c r="C64" t="s">
        <v>192</v>
      </c>
      <c r="D64" s="1">
        <v>0.55000000000000004</v>
      </c>
      <c r="E64">
        <v>-13</v>
      </c>
      <c r="F64" t="s">
        <v>193</v>
      </c>
    </row>
    <row r="65" spans="1:6">
      <c r="A65" t="s">
        <v>194</v>
      </c>
      <c r="B65" t="s">
        <v>195</v>
      </c>
      <c r="C65" t="s">
        <v>196</v>
      </c>
      <c r="D65" s="1">
        <v>0.49</v>
      </c>
      <c r="E65">
        <v>-69</v>
      </c>
      <c r="F65" t="s">
        <v>197</v>
      </c>
    </row>
    <row r="66" spans="1:6">
      <c r="A66" t="s">
        <v>198</v>
      </c>
      <c r="B66" t="s">
        <v>199</v>
      </c>
      <c r="C66" t="s">
        <v>200</v>
      </c>
      <c r="D66" s="1">
        <v>0.52</v>
      </c>
      <c r="E66">
        <v>-15</v>
      </c>
      <c r="F66" t="s">
        <v>201</v>
      </c>
    </row>
    <row r="67" spans="1:6">
      <c r="A67" t="s">
        <v>202</v>
      </c>
      <c r="B67" t="s">
        <v>203</v>
      </c>
      <c r="C67" t="s">
        <v>204</v>
      </c>
      <c r="D67" s="1">
        <v>0.22</v>
      </c>
      <c r="E67">
        <v>-16</v>
      </c>
      <c r="F67" t="s">
        <v>205</v>
      </c>
    </row>
    <row r="68" spans="1:6">
      <c r="A68" t="s">
        <v>206</v>
      </c>
      <c r="B68" t="s">
        <v>45</v>
      </c>
      <c r="C68" t="s">
        <v>207</v>
      </c>
      <c r="D68" s="1">
        <v>0.45</v>
      </c>
      <c r="E68">
        <v>-6</v>
      </c>
      <c r="F68" t="s">
        <v>208</v>
      </c>
    </row>
    <row r="69" spans="1:6">
      <c r="A69" t="s">
        <v>209</v>
      </c>
      <c r="B69" t="s">
        <v>210</v>
      </c>
      <c r="C69" t="s">
        <v>144</v>
      </c>
      <c r="D69" s="1">
        <v>0.5</v>
      </c>
      <c r="E69">
        <v>-7</v>
      </c>
      <c r="F69" t="s">
        <v>211</v>
      </c>
    </row>
    <row r="70" spans="1:6">
      <c r="A70" t="s">
        <v>212</v>
      </c>
      <c r="B70" t="s">
        <v>213</v>
      </c>
      <c r="C70" t="s">
        <v>214</v>
      </c>
      <c r="D70" s="1">
        <v>0.39</v>
      </c>
      <c r="E70">
        <v>-5</v>
      </c>
      <c r="F70" t="s">
        <v>189</v>
      </c>
    </row>
    <row r="71" spans="1:6">
      <c r="A71" t="s">
        <v>215</v>
      </c>
      <c r="B71" t="s">
        <v>104</v>
      </c>
      <c r="C71" t="s">
        <v>216</v>
      </c>
      <c r="D71" s="1">
        <v>0.45</v>
      </c>
      <c r="E71">
        <v>-17</v>
      </c>
      <c r="F71" t="s">
        <v>217</v>
      </c>
    </row>
    <row r="72" spans="1:6">
      <c r="A72" t="s">
        <v>218</v>
      </c>
      <c r="B72" t="s">
        <v>219</v>
      </c>
      <c r="C72" t="s">
        <v>220</v>
      </c>
      <c r="D72" s="1">
        <v>0.28999999999999998</v>
      </c>
      <c r="E72">
        <v>-5</v>
      </c>
      <c r="F72" t="s">
        <v>189</v>
      </c>
    </row>
    <row r="73" spans="1:6">
      <c r="A73" t="s">
        <v>221</v>
      </c>
      <c r="B73" t="s">
        <v>222</v>
      </c>
      <c r="C73" t="s">
        <v>223</v>
      </c>
      <c r="D73" s="1">
        <v>0.43</v>
      </c>
      <c r="E73">
        <v>-6</v>
      </c>
      <c r="F73" t="s">
        <v>211</v>
      </c>
    </row>
    <row r="74" spans="1:6">
      <c r="A74" t="s">
        <v>224</v>
      </c>
      <c r="B74" t="s">
        <v>225</v>
      </c>
      <c r="C74" t="s">
        <v>226</v>
      </c>
      <c r="D74" s="1">
        <v>0.43</v>
      </c>
      <c r="E74">
        <v>-5</v>
      </c>
      <c r="F74" t="s">
        <v>189</v>
      </c>
    </row>
    <row r="75" spans="1:6">
      <c r="A75" t="s">
        <v>227</v>
      </c>
      <c r="B75" t="s">
        <v>228</v>
      </c>
      <c r="C75" t="s">
        <v>207</v>
      </c>
      <c r="D75" s="1">
        <v>0.47</v>
      </c>
      <c r="E75">
        <v>-6</v>
      </c>
      <c r="F75" t="s">
        <v>208</v>
      </c>
    </row>
    <row r="76" spans="1:6">
      <c r="A76" t="s">
        <v>229</v>
      </c>
      <c r="B76" t="s">
        <v>230</v>
      </c>
      <c r="C76" t="s">
        <v>231</v>
      </c>
      <c r="D76" s="1">
        <v>0.47</v>
      </c>
      <c r="E76">
        <v>-7</v>
      </c>
      <c r="F76" t="s">
        <v>193</v>
      </c>
    </row>
    <row r="77" spans="1:6">
      <c r="A77" t="s">
        <v>232</v>
      </c>
      <c r="B77" t="s">
        <v>233</v>
      </c>
      <c r="C77" t="s">
        <v>234</v>
      </c>
      <c r="D77" s="1">
        <v>0.47</v>
      </c>
    </row>
    <row r="78" spans="1:6">
      <c r="A78" t="s">
        <v>235</v>
      </c>
      <c r="B78" t="s">
        <v>236</v>
      </c>
      <c r="C78" t="s">
        <v>152</v>
      </c>
      <c r="D78" s="1">
        <v>0.43</v>
      </c>
    </row>
    <row r="79" spans="1:6">
      <c r="A79" t="s">
        <v>237</v>
      </c>
      <c r="B79" t="s">
        <v>238</v>
      </c>
      <c r="C79" t="s">
        <v>239</v>
      </c>
      <c r="D79" s="1">
        <v>0.04</v>
      </c>
    </row>
    <row r="80" spans="1:6">
      <c r="A80" t="s">
        <v>240</v>
      </c>
      <c r="B80" t="s">
        <v>241</v>
      </c>
      <c r="C80" t="s">
        <v>242</v>
      </c>
      <c r="D80" s="1">
        <v>0.49</v>
      </c>
    </row>
    <row r="81" spans="1:6">
      <c r="A81" t="s">
        <v>243</v>
      </c>
      <c r="B81" t="s">
        <v>244</v>
      </c>
      <c r="C81" t="s">
        <v>15</v>
      </c>
      <c r="D81" s="1">
        <v>0.46</v>
      </c>
      <c r="E81">
        <v>-1</v>
      </c>
      <c r="F81" t="s">
        <v>189</v>
      </c>
    </row>
    <row r="82" spans="1:6">
      <c r="A82" t="s">
        <v>245</v>
      </c>
      <c r="B82" t="s">
        <v>246</v>
      </c>
      <c r="C82" t="s">
        <v>247</v>
      </c>
      <c r="D82" s="1">
        <v>0.49</v>
      </c>
      <c r="E82">
        <v>-1</v>
      </c>
      <c r="F82" t="s">
        <v>59</v>
      </c>
    </row>
    <row r="83" spans="1:6">
      <c r="A83" t="s">
        <v>248</v>
      </c>
      <c r="B83" t="s">
        <v>249</v>
      </c>
      <c r="C83" t="s">
        <v>250</v>
      </c>
      <c r="D83" s="1">
        <v>0.36</v>
      </c>
    </row>
    <row r="84" spans="1:6">
      <c r="A84" t="s">
        <v>251</v>
      </c>
      <c r="B84" t="s">
        <v>252</v>
      </c>
      <c r="C84" t="s">
        <v>162</v>
      </c>
      <c r="D84" s="1">
        <v>0.02</v>
      </c>
    </row>
    <row r="85" spans="1:6">
      <c r="A85" t="s">
        <v>253</v>
      </c>
      <c r="B85" t="s">
        <v>254</v>
      </c>
      <c r="C85" t="s">
        <v>91</v>
      </c>
      <c r="D85" s="1">
        <v>0.49</v>
      </c>
      <c r="E85">
        <v>-1</v>
      </c>
      <c r="F85" t="s">
        <v>29</v>
      </c>
    </row>
    <row r="86" spans="1:6">
      <c r="A86" t="s">
        <v>137</v>
      </c>
      <c r="B86" t="s">
        <v>138</v>
      </c>
      <c r="C86" t="s">
        <v>139</v>
      </c>
      <c r="D86" s="1">
        <v>0.42</v>
      </c>
    </row>
    <row r="87" spans="1:6">
      <c r="A87" t="s">
        <v>154</v>
      </c>
      <c r="B87" t="s">
        <v>255</v>
      </c>
      <c r="C87" t="s">
        <v>222</v>
      </c>
      <c r="D87" s="1">
        <v>0.49</v>
      </c>
    </row>
    <row r="88" spans="1:6">
      <c r="A88" t="s">
        <v>256</v>
      </c>
      <c r="B88" t="s">
        <v>257</v>
      </c>
      <c r="C88" t="s">
        <v>162</v>
      </c>
      <c r="D88" s="1">
        <v>0.14000000000000001</v>
      </c>
    </row>
    <row r="89" spans="1:6">
      <c r="A89" t="s">
        <v>258</v>
      </c>
      <c r="B89" t="s">
        <v>259</v>
      </c>
      <c r="C89" t="s">
        <v>260</v>
      </c>
      <c r="D89" s="1">
        <v>0.49</v>
      </c>
    </row>
    <row r="90" spans="1:6">
      <c r="A90" t="s">
        <v>261</v>
      </c>
      <c r="B90" t="s">
        <v>43</v>
      </c>
      <c r="C90" t="s">
        <v>172</v>
      </c>
      <c r="D90" s="1">
        <v>0.11</v>
      </c>
    </row>
    <row r="91" spans="1:6">
      <c r="A91" t="s">
        <v>175</v>
      </c>
      <c r="B91" t="s">
        <v>262</v>
      </c>
      <c r="C91" t="s">
        <v>263</v>
      </c>
      <c r="D91" s="1">
        <v>0.49</v>
      </c>
    </row>
    <row r="92" spans="1:6">
      <c r="A92" t="s">
        <v>264</v>
      </c>
      <c r="B92" t="s">
        <v>265</v>
      </c>
      <c r="C92" t="s">
        <v>162</v>
      </c>
      <c r="D92" s="1">
        <v>0.14000000000000001</v>
      </c>
    </row>
    <row r="93" spans="1:6">
      <c r="A93" t="s">
        <v>266</v>
      </c>
      <c r="B93" t="s">
        <v>267</v>
      </c>
      <c r="C93" t="s">
        <v>268</v>
      </c>
      <c r="D93" s="1">
        <v>0.43</v>
      </c>
    </row>
    <row r="94" spans="1:6">
      <c r="A94" t="s">
        <v>269</v>
      </c>
      <c r="B94" t="s">
        <v>270</v>
      </c>
      <c r="C94" t="s">
        <v>271</v>
      </c>
      <c r="D94" s="1">
        <v>0.5</v>
      </c>
    </row>
    <row r="95" spans="1:6">
      <c r="A95" t="s">
        <v>272</v>
      </c>
      <c r="B95" t="s">
        <v>273</v>
      </c>
      <c r="C95" t="s">
        <v>184</v>
      </c>
      <c r="D95" s="1">
        <v>0.48</v>
      </c>
    </row>
    <row r="96" spans="1:6">
      <c r="A96" t="s">
        <v>274</v>
      </c>
      <c r="B96" t="s">
        <v>275</v>
      </c>
      <c r="C96" t="s">
        <v>276</v>
      </c>
      <c r="D96" s="1">
        <v>0.48</v>
      </c>
    </row>
    <row r="97" spans="1:6">
      <c r="A97" t="s">
        <v>277</v>
      </c>
      <c r="B97" t="s">
        <v>226</v>
      </c>
      <c r="C97" t="s">
        <v>162</v>
      </c>
      <c r="D97" s="1">
        <v>0.47</v>
      </c>
    </row>
    <row r="98" spans="1:6">
      <c r="A98" t="s">
        <v>277</v>
      </c>
      <c r="B98" t="s">
        <v>226</v>
      </c>
      <c r="C98" t="s">
        <v>162</v>
      </c>
      <c r="D98" s="1">
        <v>0.47</v>
      </c>
    </row>
    <row r="99" spans="1:6">
      <c r="A99" t="s">
        <v>278</v>
      </c>
      <c r="B99" t="s">
        <v>152</v>
      </c>
      <c r="C99" t="s">
        <v>279</v>
      </c>
      <c r="D99" s="1">
        <v>0.5</v>
      </c>
    </row>
    <row r="100" spans="1:6">
      <c r="A100" t="s">
        <v>280</v>
      </c>
      <c r="B100" t="s">
        <v>281</v>
      </c>
      <c r="C100" t="s">
        <v>161</v>
      </c>
      <c r="D100" s="1">
        <v>0.08</v>
      </c>
    </row>
    <row r="101" spans="1:6">
      <c r="A101" t="s">
        <v>282</v>
      </c>
      <c r="B101" t="s">
        <v>283</v>
      </c>
      <c r="C101" t="s">
        <v>167</v>
      </c>
      <c r="D101" s="1">
        <v>0.02</v>
      </c>
    </row>
    <row r="102" spans="1:6">
      <c r="A102" t="s">
        <v>284</v>
      </c>
      <c r="B102" t="s">
        <v>285</v>
      </c>
      <c r="C102" t="s">
        <v>286</v>
      </c>
      <c r="D102" s="1">
        <v>0.49</v>
      </c>
    </row>
    <row r="103" spans="1:6">
      <c r="A103" t="s">
        <v>287</v>
      </c>
      <c r="B103" t="s">
        <v>288</v>
      </c>
      <c r="C103" t="s">
        <v>67</v>
      </c>
      <c r="D103" s="1">
        <v>0.04</v>
      </c>
    </row>
    <row r="104" spans="1:6">
      <c r="A104" t="s">
        <v>289</v>
      </c>
      <c r="B104" t="s">
        <v>290</v>
      </c>
      <c r="C104" t="s">
        <v>291</v>
      </c>
      <c r="D104" s="1">
        <v>0.49</v>
      </c>
    </row>
    <row r="105" spans="1:6">
      <c r="A105" t="s">
        <v>292</v>
      </c>
      <c r="B105" t="s">
        <v>293</v>
      </c>
      <c r="C105" t="s">
        <v>294</v>
      </c>
      <c r="D105" s="1">
        <v>0.42</v>
      </c>
    </row>
    <row r="106" spans="1:6">
      <c r="A106" t="s">
        <v>295</v>
      </c>
      <c r="B106" t="s">
        <v>296</v>
      </c>
      <c r="C106" t="s">
        <v>297</v>
      </c>
      <c r="D106" s="1">
        <v>0.21</v>
      </c>
      <c r="E106">
        <v>-1</v>
      </c>
      <c r="F106" t="s">
        <v>59</v>
      </c>
    </row>
    <row r="107" spans="1:6">
      <c r="A107" t="s">
        <v>298</v>
      </c>
      <c r="B107" t="s">
        <v>299</v>
      </c>
      <c r="C107" t="s">
        <v>300</v>
      </c>
      <c r="D107" s="1">
        <v>0.41</v>
      </c>
    </row>
    <row r="108" spans="1:6">
      <c r="A108" t="s">
        <v>301</v>
      </c>
      <c r="B108" t="s">
        <v>302</v>
      </c>
      <c r="C108" t="s">
        <v>303</v>
      </c>
      <c r="D108" s="1">
        <v>0.01</v>
      </c>
    </row>
    <row r="109" spans="1:6">
      <c r="A109" t="s">
        <v>304</v>
      </c>
      <c r="B109" t="s">
        <v>305</v>
      </c>
      <c r="C109" t="s">
        <v>306</v>
      </c>
      <c r="D109" s="1">
        <v>0.24</v>
      </c>
    </row>
    <row r="110" spans="1:6">
      <c r="A110" t="s">
        <v>307</v>
      </c>
      <c r="B110" t="s">
        <v>308</v>
      </c>
      <c r="C110" t="s">
        <v>309</v>
      </c>
      <c r="D110" s="1">
        <v>0.34</v>
      </c>
    </row>
    <row r="111" spans="1:6">
      <c r="A111" t="s">
        <v>310</v>
      </c>
      <c r="B111" t="s">
        <v>146</v>
      </c>
      <c r="C111" t="s">
        <v>311</v>
      </c>
      <c r="D111" s="1">
        <v>0.34</v>
      </c>
    </row>
    <row r="112" spans="1:6">
      <c r="A112" t="s">
        <v>312</v>
      </c>
      <c r="B112" t="s">
        <v>313</v>
      </c>
      <c r="C112" t="s">
        <v>162</v>
      </c>
      <c r="D112" s="1">
        <v>0.02</v>
      </c>
    </row>
    <row r="113" spans="1:6">
      <c r="A113" t="s">
        <v>314</v>
      </c>
      <c r="B113" t="s">
        <v>315</v>
      </c>
      <c r="C113" t="s">
        <v>239</v>
      </c>
      <c r="D113" s="1">
        <v>0.02</v>
      </c>
    </row>
    <row r="114" spans="1:6">
      <c r="A114" t="s">
        <v>316</v>
      </c>
      <c r="B114" t="s">
        <v>155</v>
      </c>
      <c r="C114" t="s">
        <v>317</v>
      </c>
      <c r="D114" s="1">
        <v>0.64</v>
      </c>
    </row>
    <row r="115" spans="1:6">
      <c r="A115" t="s">
        <v>318</v>
      </c>
      <c r="B115" t="s">
        <v>242</v>
      </c>
      <c r="C115" t="s">
        <v>172</v>
      </c>
      <c r="D115" s="1">
        <v>0.5</v>
      </c>
      <c r="E115">
        <v>-1</v>
      </c>
      <c r="F115" t="s">
        <v>319</v>
      </c>
    </row>
    <row r="116" spans="1:6">
      <c r="A116" t="s">
        <v>320</v>
      </c>
      <c r="B116" t="s">
        <v>321</v>
      </c>
      <c r="C116" t="s">
        <v>322</v>
      </c>
      <c r="D116" s="1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E2F2-415D-458C-9970-FA6926543D87}">
  <sheetPr>
    <tabColor theme="8" tint="0.39997558519241921"/>
  </sheetPr>
  <dimension ref="A1:I278"/>
  <sheetViews>
    <sheetView topLeftCell="B1" workbookViewId="0">
      <pane ySplit="1" topLeftCell="A2" activePane="bottomLeft" state="frozen"/>
      <selection pane="bottomLeft" activeCell="A8" sqref="A8"/>
    </sheetView>
  </sheetViews>
  <sheetFormatPr defaultRowHeight="13.8"/>
  <cols>
    <col min="1" max="1" width="73" customWidth="1"/>
    <col min="2" max="2" width="21.8984375" style="4" customWidth="1"/>
    <col min="3" max="3" width="17.296875" style="4" customWidth="1"/>
    <col min="4" max="4" width="15.3984375" style="21" customWidth="1"/>
    <col min="5" max="5" width="19" style="6" customWidth="1"/>
    <col min="6" max="6" width="22.59765625" customWidth="1"/>
    <col min="7" max="7" width="21.3984375" customWidth="1"/>
    <col min="8" max="8" width="18.296875" customWidth="1"/>
    <col min="9" max="9" width="22.3984375" customWidth="1"/>
  </cols>
  <sheetData>
    <row r="1" spans="1:9">
      <c r="A1" s="5" t="s">
        <v>323</v>
      </c>
      <c r="B1" s="5" t="s">
        <v>325</v>
      </c>
      <c r="C1" s="15" t="s">
        <v>326</v>
      </c>
      <c r="D1" s="19" t="s">
        <v>361</v>
      </c>
      <c r="E1" s="17" t="s">
        <v>339</v>
      </c>
      <c r="F1" s="5" t="s">
        <v>340</v>
      </c>
      <c r="G1" s="5" t="s">
        <v>341</v>
      </c>
      <c r="H1" s="7" t="s">
        <v>342</v>
      </c>
      <c r="I1" s="7" t="s">
        <v>343</v>
      </c>
    </row>
    <row r="2" spans="1:9">
      <c r="A2" s="2" t="s">
        <v>6</v>
      </c>
      <c r="B2" s="3">
        <v>950</v>
      </c>
      <c r="C2" s="16">
        <v>1525</v>
      </c>
      <c r="D2" s="20">
        <v>38</v>
      </c>
      <c r="E2" s="18">
        <v>2</v>
      </c>
      <c r="F2" s="2">
        <v>4.5</v>
      </c>
      <c r="G2" s="3">
        <f>(C2-B2)</f>
        <v>575</v>
      </c>
      <c r="H2" s="2" t="str">
        <f>IF(F2&lt;3, "Poor",IF(F2&lt;4.5, "Average", "Excellent"))</f>
        <v>Excellent</v>
      </c>
      <c r="I2" s="2" t="str">
        <f>IF(D2&lt;20, "Low Discount", IF(D2&lt;=40, "Medium Discount", "High Discount"))</f>
        <v>Medium Discount</v>
      </c>
    </row>
    <row r="3" spans="1:9">
      <c r="A3" s="2" t="s">
        <v>10</v>
      </c>
      <c r="B3" s="3">
        <v>527</v>
      </c>
      <c r="C3" s="16">
        <v>999</v>
      </c>
      <c r="D3" s="20">
        <v>47</v>
      </c>
      <c r="E3" s="18">
        <v>14</v>
      </c>
      <c r="F3" s="2">
        <v>4.0999999999999996</v>
      </c>
      <c r="G3" s="3">
        <f t="shared" ref="G3:G66" si="0">(C3-B3)</f>
        <v>472</v>
      </c>
      <c r="H3" s="2" t="str">
        <f t="shared" ref="H3:H66" si="1">IF(F3&lt;3, "Poor",IF(F3&lt;4.5, "Average", "Excellent"))</f>
        <v>Average</v>
      </c>
      <c r="I3" s="2" t="str">
        <f t="shared" ref="I3:I66" si="2">IF(D3&lt;20, "Low Discount", IF(D3&lt;=40, "Medium Discount", "High Discount"))</f>
        <v>High Discount</v>
      </c>
    </row>
    <row r="4" spans="1:9">
      <c r="A4" s="2" t="s">
        <v>14</v>
      </c>
      <c r="B4" s="3">
        <v>2199</v>
      </c>
      <c r="C4" s="16">
        <v>2923</v>
      </c>
      <c r="D4" s="20">
        <v>25</v>
      </c>
      <c r="E4" s="18">
        <v>24</v>
      </c>
      <c r="F4" s="2">
        <v>4.5999999999999996</v>
      </c>
      <c r="G4" s="3">
        <f t="shared" si="0"/>
        <v>724</v>
      </c>
      <c r="H4" s="2" t="str">
        <f t="shared" si="1"/>
        <v>Excellent</v>
      </c>
      <c r="I4" s="2" t="str">
        <f t="shared" si="2"/>
        <v>Medium Discount</v>
      </c>
    </row>
    <row r="5" spans="1:9">
      <c r="A5" s="2" t="s">
        <v>18</v>
      </c>
      <c r="B5" s="3">
        <v>1580</v>
      </c>
      <c r="C5" s="16">
        <v>2499</v>
      </c>
      <c r="D5" s="20">
        <v>37</v>
      </c>
      <c r="E5" s="18">
        <v>7</v>
      </c>
      <c r="F5" s="2">
        <v>4.7</v>
      </c>
      <c r="G5" s="3">
        <f t="shared" si="0"/>
        <v>919</v>
      </c>
      <c r="H5" s="2" t="str">
        <f t="shared" si="1"/>
        <v>Excellent</v>
      </c>
      <c r="I5" s="2" t="str">
        <f t="shared" si="2"/>
        <v>Medium Discount</v>
      </c>
    </row>
    <row r="6" spans="1:9">
      <c r="A6" s="2" t="s">
        <v>22</v>
      </c>
      <c r="B6" s="3">
        <v>1740</v>
      </c>
      <c r="C6" s="16">
        <v>2356</v>
      </c>
      <c r="D6" s="20">
        <v>26</v>
      </c>
      <c r="E6" s="18">
        <v>5</v>
      </c>
      <c r="F6" s="2">
        <v>4.8</v>
      </c>
      <c r="G6" s="3">
        <f t="shared" si="0"/>
        <v>616</v>
      </c>
      <c r="H6" s="2" t="str">
        <f t="shared" si="1"/>
        <v>Excellent</v>
      </c>
      <c r="I6" s="2" t="str">
        <f t="shared" si="2"/>
        <v>Medium Discount</v>
      </c>
    </row>
    <row r="7" spans="1:9">
      <c r="A7" s="2" t="s">
        <v>327</v>
      </c>
      <c r="B7" s="3">
        <v>2999</v>
      </c>
      <c r="C7" s="16">
        <v>3290</v>
      </c>
      <c r="D7" s="20">
        <v>9</v>
      </c>
      <c r="E7" s="18">
        <v>15</v>
      </c>
      <c r="F7" s="2">
        <v>4</v>
      </c>
      <c r="G7" s="3">
        <f t="shared" si="0"/>
        <v>291</v>
      </c>
      <c r="H7" s="2" t="str">
        <f t="shared" si="1"/>
        <v>Average</v>
      </c>
      <c r="I7" s="2" t="str">
        <f t="shared" si="2"/>
        <v>Low Discount</v>
      </c>
    </row>
    <row r="8" spans="1:9">
      <c r="A8" s="2" t="s">
        <v>30</v>
      </c>
      <c r="B8" s="3">
        <v>2319</v>
      </c>
      <c r="C8" s="16">
        <v>3032</v>
      </c>
      <c r="D8" s="20">
        <v>24</v>
      </c>
      <c r="E8" s="18">
        <v>55</v>
      </c>
      <c r="F8" s="2">
        <v>4.5999999999999996</v>
      </c>
      <c r="G8" s="3">
        <f t="shared" si="0"/>
        <v>713</v>
      </c>
      <c r="H8" s="2" t="str">
        <f t="shared" si="1"/>
        <v>Excellent</v>
      </c>
      <c r="I8" s="2" t="str">
        <f t="shared" si="2"/>
        <v>Medium Discount</v>
      </c>
    </row>
    <row r="9" spans="1:9">
      <c r="A9" s="2" t="s">
        <v>33</v>
      </c>
      <c r="B9" s="3">
        <v>988</v>
      </c>
      <c r="C9" s="16">
        <v>1580</v>
      </c>
      <c r="D9" s="20">
        <v>37</v>
      </c>
      <c r="E9" s="18">
        <v>2</v>
      </c>
      <c r="F9" s="2">
        <v>4</v>
      </c>
      <c r="G9" s="3">
        <f t="shared" si="0"/>
        <v>592</v>
      </c>
      <c r="H9" s="2" t="str">
        <f t="shared" si="1"/>
        <v>Average</v>
      </c>
      <c r="I9" s="2" t="str">
        <f t="shared" si="2"/>
        <v>Medium Discount</v>
      </c>
    </row>
    <row r="10" spans="1:9">
      <c r="A10" s="2" t="s">
        <v>35</v>
      </c>
      <c r="B10" s="3">
        <v>1274</v>
      </c>
      <c r="C10" s="16">
        <v>2800</v>
      </c>
      <c r="D10" s="20">
        <v>55</v>
      </c>
      <c r="E10" s="18">
        <v>5</v>
      </c>
      <c r="F10" s="2">
        <v>4.8</v>
      </c>
      <c r="G10" s="3">
        <f t="shared" si="0"/>
        <v>1526</v>
      </c>
      <c r="H10" s="2" t="str">
        <f t="shared" si="1"/>
        <v>Excellent</v>
      </c>
      <c r="I10" s="2" t="str">
        <f t="shared" si="2"/>
        <v>High Discount</v>
      </c>
    </row>
    <row r="11" spans="1:9">
      <c r="A11" s="2" t="s">
        <v>38</v>
      </c>
      <c r="B11" s="3">
        <v>1600</v>
      </c>
      <c r="C11" s="16">
        <v>2929</v>
      </c>
      <c r="D11" s="20">
        <v>45</v>
      </c>
      <c r="E11" s="18">
        <v>5</v>
      </c>
      <c r="F11" s="2">
        <v>3.8</v>
      </c>
      <c r="G11" s="3">
        <f t="shared" si="0"/>
        <v>1329</v>
      </c>
      <c r="H11" s="2" t="str">
        <f t="shared" si="1"/>
        <v>Average</v>
      </c>
      <c r="I11" s="2" t="str">
        <f t="shared" si="2"/>
        <v>High Discount</v>
      </c>
    </row>
    <row r="12" spans="1:9">
      <c r="A12" s="2" t="s">
        <v>42</v>
      </c>
      <c r="B12" s="3">
        <v>799</v>
      </c>
      <c r="C12" s="16">
        <v>999</v>
      </c>
      <c r="D12" s="20">
        <v>20</v>
      </c>
      <c r="E12" s="18">
        <v>12</v>
      </c>
      <c r="F12" s="2">
        <v>4.0999999999999996</v>
      </c>
      <c r="G12" s="3">
        <f t="shared" si="0"/>
        <v>200</v>
      </c>
      <c r="H12" s="2" t="str">
        <f t="shared" si="1"/>
        <v>Average</v>
      </c>
      <c r="I12" s="2" t="str">
        <f t="shared" si="2"/>
        <v>Medium Discount</v>
      </c>
    </row>
    <row r="13" spans="1:9">
      <c r="A13" s="2" t="s">
        <v>44</v>
      </c>
      <c r="B13" s="3">
        <v>990</v>
      </c>
      <c r="C13" s="16">
        <v>1500</v>
      </c>
      <c r="D13" s="20">
        <v>34</v>
      </c>
      <c r="E13" s="18">
        <v>39</v>
      </c>
      <c r="F13" s="2">
        <v>4.7</v>
      </c>
      <c r="G13" s="3">
        <f t="shared" si="0"/>
        <v>510</v>
      </c>
      <c r="H13" s="2" t="str">
        <f t="shared" si="1"/>
        <v>Excellent</v>
      </c>
      <c r="I13" s="2" t="str">
        <f t="shared" si="2"/>
        <v>Medium Discount</v>
      </c>
    </row>
    <row r="14" spans="1:9">
      <c r="A14" s="2" t="s">
        <v>47</v>
      </c>
      <c r="B14" s="3">
        <v>552</v>
      </c>
      <c r="C14" s="16">
        <v>1035</v>
      </c>
      <c r="D14" s="20">
        <v>47</v>
      </c>
      <c r="E14" s="18">
        <v>12</v>
      </c>
      <c r="F14" s="2">
        <v>4.8</v>
      </c>
      <c r="G14" s="3">
        <f t="shared" si="0"/>
        <v>483</v>
      </c>
      <c r="H14" s="2" t="str">
        <f t="shared" si="1"/>
        <v>Excellent</v>
      </c>
      <c r="I14" s="2" t="str">
        <f t="shared" si="2"/>
        <v>High Discount</v>
      </c>
    </row>
    <row r="15" spans="1:9">
      <c r="A15" s="2" t="s">
        <v>50</v>
      </c>
      <c r="B15" s="3">
        <v>501</v>
      </c>
      <c r="C15" s="16">
        <v>860</v>
      </c>
      <c r="D15" s="20">
        <v>42</v>
      </c>
      <c r="E15" s="18">
        <v>6</v>
      </c>
      <c r="F15" s="2">
        <v>4.5</v>
      </c>
      <c r="G15" s="3">
        <f t="shared" si="0"/>
        <v>359</v>
      </c>
      <c r="H15" s="2" t="str">
        <f t="shared" si="1"/>
        <v>Excellent</v>
      </c>
      <c r="I15" s="2" t="str">
        <f t="shared" si="2"/>
        <v>High Discount</v>
      </c>
    </row>
    <row r="16" spans="1:9">
      <c r="A16" s="2" t="s">
        <v>53</v>
      </c>
      <c r="B16" s="3">
        <v>1680</v>
      </c>
      <c r="C16" s="16">
        <v>2499</v>
      </c>
      <c r="D16" s="20">
        <v>33</v>
      </c>
      <c r="E16" s="18">
        <v>9</v>
      </c>
      <c r="F16" s="2">
        <v>4.2</v>
      </c>
      <c r="G16" s="3">
        <f t="shared" si="0"/>
        <v>819</v>
      </c>
      <c r="H16" s="2" t="str">
        <f t="shared" si="1"/>
        <v>Average</v>
      </c>
      <c r="I16" s="2" t="str">
        <f t="shared" si="2"/>
        <v>Medium Discount</v>
      </c>
    </row>
    <row r="17" spans="1:9">
      <c r="A17" s="2" t="s">
        <v>56</v>
      </c>
      <c r="B17" s="3">
        <v>332</v>
      </c>
      <c r="C17" s="16">
        <v>684</v>
      </c>
      <c r="D17" s="20">
        <v>51</v>
      </c>
      <c r="E17" s="18">
        <v>2</v>
      </c>
      <c r="F17" s="2">
        <v>5</v>
      </c>
      <c r="G17" s="3">
        <f t="shared" si="0"/>
        <v>352</v>
      </c>
      <c r="H17" s="2" t="str">
        <f t="shared" si="1"/>
        <v>Excellent</v>
      </c>
      <c r="I17" s="2" t="str">
        <f t="shared" si="2"/>
        <v>High Discount</v>
      </c>
    </row>
    <row r="18" spans="1:9">
      <c r="A18" s="2" t="s">
        <v>60</v>
      </c>
      <c r="B18" s="3">
        <v>195</v>
      </c>
      <c r="C18" s="16">
        <v>360</v>
      </c>
      <c r="D18" s="20">
        <v>46</v>
      </c>
      <c r="E18" s="18">
        <v>2</v>
      </c>
      <c r="F18" s="2">
        <v>5</v>
      </c>
      <c r="G18" s="3">
        <f t="shared" si="0"/>
        <v>165</v>
      </c>
      <c r="H18" s="2" t="str">
        <f t="shared" si="1"/>
        <v>Excellent</v>
      </c>
      <c r="I18" s="2" t="str">
        <f t="shared" si="2"/>
        <v>High Discount</v>
      </c>
    </row>
    <row r="19" spans="1:9">
      <c r="A19" s="2" t="s">
        <v>63</v>
      </c>
      <c r="B19" s="3">
        <v>2025</v>
      </c>
      <c r="C19" s="16">
        <v>3971</v>
      </c>
      <c r="D19" s="20">
        <v>49</v>
      </c>
      <c r="E19" s="18">
        <v>3</v>
      </c>
      <c r="F19" s="2">
        <v>5</v>
      </c>
      <c r="G19" s="3">
        <f t="shared" si="0"/>
        <v>1946</v>
      </c>
      <c r="H19" s="2" t="str">
        <f t="shared" si="1"/>
        <v>Excellent</v>
      </c>
      <c r="I19" s="2" t="str">
        <f t="shared" si="2"/>
        <v>High Discount</v>
      </c>
    </row>
    <row r="20" spans="1:9">
      <c r="A20" s="2" t="s">
        <v>66</v>
      </c>
      <c r="B20" s="3">
        <v>2999</v>
      </c>
      <c r="C20" s="16">
        <v>3699</v>
      </c>
      <c r="D20" s="20">
        <v>19</v>
      </c>
      <c r="E20" s="18">
        <v>5</v>
      </c>
      <c r="F20" s="2">
        <v>4.5999999999999996</v>
      </c>
      <c r="G20" s="3">
        <f t="shared" si="0"/>
        <v>700</v>
      </c>
      <c r="H20" s="2" t="str">
        <f t="shared" si="1"/>
        <v>Excellent</v>
      </c>
      <c r="I20" s="2" t="str">
        <f t="shared" si="2"/>
        <v>Low Discount</v>
      </c>
    </row>
    <row r="21" spans="1:9">
      <c r="A21" s="2" t="s">
        <v>68</v>
      </c>
      <c r="B21" s="3">
        <v>998</v>
      </c>
      <c r="C21" s="16">
        <v>1966</v>
      </c>
      <c r="D21" s="20">
        <v>49</v>
      </c>
      <c r="E21" s="18">
        <v>44</v>
      </c>
      <c r="F21" s="2">
        <v>4.5999999999999996</v>
      </c>
      <c r="G21" s="3">
        <f t="shared" si="0"/>
        <v>968</v>
      </c>
      <c r="H21" s="2" t="str">
        <f t="shared" si="1"/>
        <v>Excellent</v>
      </c>
      <c r="I21" s="2" t="str">
        <f t="shared" si="2"/>
        <v>High Discount</v>
      </c>
    </row>
    <row r="22" spans="1:9">
      <c r="A22" s="2" t="s">
        <v>71</v>
      </c>
      <c r="B22" s="3">
        <v>38</v>
      </c>
      <c r="C22" s="16">
        <v>80</v>
      </c>
      <c r="D22" s="20">
        <v>53</v>
      </c>
      <c r="E22" s="18">
        <v>13</v>
      </c>
      <c r="F22" s="2">
        <v>3.3</v>
      </c>
      <c r="G22" s="3">
        <f t="shared" si="0"/>
        <v>42</v>
      </c>
      <c r="H22" s="2" t="str">
        <f t="shared" si="1"/>
        <v>Average</v>
      </c>
      <c r="I22" s="2" t="str">
        <f t="shared" si="2"/>
        <v>High Discount</v>
      </c>
    </row>
    <row r="23" spans="1:9">
      <c r="A23" s="2" t="s">
        <v>328</v>
      </c>
      <c r="B23" s="3">
        <v>1860</v>
      </c>
      <c r="C23" s="16">
        <v>3220</v>
      </c>
      <c r="D23" s="20">
        <v>42</v>
      </c>
      <c r="E23" s="18"/>
      <c r="F23" s="2"/>
      <c r="G23" s="3">
        <f t="shared" si="0"/>
        <v>1360</v>
      </c>
      <c r="H23" s="2" t="str">
        <f t="shared" si="1"/>
        <v>Poor</v>
      </c>
      <c r="I23" s="2" t="str">
        <f t="shared" si="2"/>
        <v>High Discount</v>
      </c>
    </row>
    <row r="24" spans="1:9">
      <c r="A24" s="2" t="s">
        <v>329</v>
      </c>
      <c r="B24" s="3">
        <v>880</v>
      </c>
      <c r="C24" s="16">
        <v>1350</v>
      </c>
      <c r="D24" s="20">
        <v>35</v>
      </c>
      <c r="E24" s="18">
        <v>6</v>
      </c>
      <c r="F24" s="2">
        <v>4</v>
      </c>
      <c r="G24" s="3">
        <f t="shared" si="0"/>
        <v>470</v>
      </c>
      <c r="H24" s="2" t="str">
        <f t="shared" si="1"/>
        <v>Average</v>
      </c>
      <c r="I24" s="2" t="str">
        <f t="shared" si="2"/>
        <v>Medium Discount</v>
      </c>
    </row>
    <row r="25" spans="1:9">
      <c r="A25" s="2" t="s">
        <v>81</v>
      </c>
      <c r="B25" s="3">
        <v>1650</v>
      </c>
      <c r="C25" s="16">
        <v>2150</v>
      </c>
      <c r="D25" s="20">
        <v>23</v>
      </c>
      <c r="E25" s="18">
        <v>14</v>
      </c>
      <c r="F25" s="2">
        <v>4.4000000000000004</v>
      </c>
      <c r="G25" s="3">
        <f t="shared" si="0"/>
        <v>500</v>
      </c>
      <c r="H25" s="2" t="str">
        <f t="shared" si="1"/>
        <v>Average</v>
      </c>
      <c r="I25" s="2" t="str">
        <f t="shared" si="2"/>
        <v>Medium Discount</v>
      </c>
    </row>
    <row r="26" spans="1:9">
      <c r="A26" s="2" t="s">
        <v>85</v>
      </c>
      <c r="B26" s="3">
        <v>2048</v>
      </c>
      <c r="C26" s="16">
        <v>4500</v>
      </c>
      <c r="D26" s="20">
        <v>54</v>
      </c>
      <c r="E26" s="18">
        <v>7</v>
      </c>
      <c r="F26" s="2">
        <v>4.3</v>
      </c>
      <c r="G26" s="3">
        <f t="shared" si="0"/>
        <v>2452</v>
      </c>
      <c r="H26" s="2" t="str">
        <f t="shared" si="1"/>
        <v>Average</v>
      </c>
      <c r="I26" s="2" t="str">
        <f t="shared" si="2"/>
        <v>High Discount</v>
      </c>
    </row>
    <row r="27" spans="1:9">
      <c r="A27" s="2" t="s">
        <v>89</v>
      </c>
      <c r="B27" s="3">
        <v>420</v>
      </c>
      <c r="C27" s="16">
        <v>647</v>
      </c>
      <c r="D27" s="20">
        <v>35</v>
      </c>
      <c r="E27" s="18">
        <v>49</v>
      </c>
      <c r="F27" s="2">
        <v>4.5999999999999996</v>
      </c>
      <c r="G27" s="3">
        <f t="shared" si="0"/>
        <v>227</v>
      </c>
      <c r="H27" s="2" t="str">
        <f t="shared" si="1"/>
        <v>Excellent</v>
      </c>
      <c r="I27" s="2" t="str">
        <f t="shared" si="2"/>
        <v>Medium Discount</v>
      </c>
    </row>
    <row r="28" spans="1:9">
      <c r="A28" s="2" t="s">
        <v>92</v>
      </c>
      <c r="B28" s="3">
        <v>2880</v>
      </c>
      <c r="C28" s="16">
        <v>3520</v>
      </c>
      <c r="D28" s="20">
        <v>18</v>
      </c>
      <c r="E28" s="18">
        <v>12</v>
      </c>
      <c r="F28" s="2">
        <v>3.8</v>
      </c>
      <c r="G28" s="3">
        <f t="shared" si="0"/>
        <v>640</v>
      </c>
      <c r="H28" s="2" t="str">
        <f t="shared" si="1"/>
        <v>Average</v>
      </c>
      <c r="I28" s="2" t="str">
        <f t="shared" si="2"/>
        <v>Low Discount</v>
      </c>
    </row>
    <row r="29" spans="1:9">
      <c r="A29" s="2" t="s">
        <v>95</v>
      </c>
      <c r="B29" s="3">
        <v>1350</v>
      </c>
      <c r="C29" s="16">
        <v>1990</v>
      </c>
      <c r="D29" s="20">
        <v>32</v>
      </c>
      <c r="E29" s="18">
        <v>13</v>
      </c>
      <c r="F29" s="2">
        <v>3.8</v>
      </c>
      <c r="G29" s="3">
        <f t="shared" si="0"/>
        <v>640</v>
      </c>
      <c r="H29" s="2" t="str">
        <f t="shared" si="1"/>
        <v>Average</v>
      </c>
      <c r="I29" s="2" t="str">
        <f t="shared" si="2"/>
        <v>Medium Discount</v>
      </c>
    </row>
    <row r="30" spans="1:9">
      <c r="A30" s="2" t="s">
        <v>97</v>
      </c>
      <c r="B30" s="3">
        <v>1758</v>
      </c>
      <c r="C30" s="16">
        <v>2499</v>
      </c>
      <c r="D30" s="20">
        <v>30</v>
      </c>
      <c r="E30" s="18">
        <v>20</v>
      </c>
      <c r="F30" s="2">
        <v>4.0999999999999996</v>
      </c>
      <c r="G30" s="3">
        <f t="shared" si="0"/>
        <v>741</v>
      </c>
      <c r="H30" s="2" t="str">
        <f t="shared" si="1"/>
        <v>Average</v>
      </c>
      <c r="I30" s="2" t="str">
        <f t="shared" si="2"/>
        <v>Medium Discount</v>
      </c>
    </row>
    <row r="31" spans="1:9">
      <c r="A31" s="2" t="s">
        <v>324</v>
      </c>
      <c r="B31" s="3">
        <v>2200</v>
      </c>
      <c r="C31" s="16">
        <v>4080</v>
      </c>
      <c r="D31" s="20">
        <v>46</v>
      </c>
      <c r="E31" s="18"/>
      <c r="F31" s="2"/>
      <c r="G31" s="3">
        <f t="shared" si="0"/>
        <v>1880</v>
      </c>
      <c r="H31" s="2" t="str">
        <f t="shared" si="1"/>
        <v>Poor</v>
      </c>
      <c r="I31" s="2" t="str">
        <f t="shared" si="2"/>
        <v>High Discount</v>
      </c>
    </row>
    <row r="32" spans="1:9">
      <c r="A32" s="2" t="s">
        <v>102</v>
      </c>
      <c r="B32" s="3">
        <v>185</v>
      </c>
      <c r="C32" s="16">
        <v>382</v>
      </c>
      <c r="D32" s="20">
        <v>52</v>
      </c>
      <c r="E32" s="18">
        <v>9</v>
      </c>
      <c r="F32" s="2">
        <v>4.3</v>
      </c>
      <c r="G32" s="3">
        <f t="shared" si="0"/>
        <v>197</v>
      </c>
      <c r="H32" s="2" t="str">
        <f t="shared" si="1"/>
        <v>Average</v>
      </c>
      <c r="I32" s="2" t="str">
        <f t="shared" si="2"/>
        <v>High Discount</v>
      </c>
    </row>
    <row r="33" spans="1:9">
      <c r="A33" s="2" t="s">
        <v>105</v>
      </c>
      <c r="B33" s="3">
        <v>980</v>
      </c>
      <c r="C33" s="16">
        <v>1490</v>
      </c>
      <c r="D33" s="20">
        <v>34</v>
      </c>
      <c r="E33" s="18">
        <v>12</v>
      </c>
      <c r="F33" s="2">
        <v>4.7</v>
      </c>
      <c r="G33" s="3">
        <f t="shared" si="0"/>
        <v>510</v>
      </c>
      <c r="H33" s="2" t="str">
        <f t="shared" si="1"/>
        <v>Excellent</v>
      </c>
      <c r="I33" s="2" t="str">
        <f t="shared" si="2"/>
        <v>Medium Discount</v>
      </c>
    </row>
    <row r="34" spans="1:9">
      <c r="A34" s="2" t="s">
        <v>330</v>
      </c>
      <c r="B34" s="3">
        <v>1820</v>
      </c>
      <c r="C34" s="16">
        <v>3490</v>
      </c>
      <c r="D34" s="20">
        <v>48</v>
      </c>
      <c r="E34" s="18">
        <v>9</v>
      </c>
      <c r="F34" s="2">
        <v>4.3</v>
      </c>
      <c r="G34" s="3">
        <f t="shared" si="0"/>
        <v>1670</v>
      </c>
      <c r="H34" s="2" t="str">
        <f t="shared" si="1"/>
        <v>Average</v>
      </c>
      <c r="I34" s="2" t="str">
        <f t="shared" si="2"/>
        <v>High Discount</v>
      </c>
    </row>
    <row r="35" spans="1:9">
      <c r="A35" s="2" t="s">
        <v>111</v>
      </c>
      <c r="B35" s="3">
        <v>1940</v>
      </c>
      <c r="C35" s="16">
        <v>2650</v>
      </c>
      <c r="D35" s="20">
        <v>27</v>
      </c>
      <c r="E35" s="18">
        <v>20</v>
      </c>
      <c r="F35" s="2">
        <v>4.7</v>
      </c>
      <c r="G35" s="3">
        <f t="shared" si="0"/>
        <v>710</v>
      </c>
      <c r="H35" s="2" t="str">
        <f t="shared" si="1"/>
        <v>Excellent</v>
      </c>
      <c r="I35" s="2" t="str">
        <f t="shared" si="2"/>
        <v>Medium Discount</v>
      </c>
    </row>
    <row r="36" spans="1:9">
      <c r="A36" s="2" t="s">
        <v>114</v>
      </c>
      <c r="B36" s="3">
        <v>1980</v>
      </c>
      <c r="C36" s="16">
        <v>2699</v>
      </c>
      <c r="D36" s="20">
        <v>27</v>
      </c>
      <c r="E36" s="18">
        <v>32</v>
      </c>
      <c r="F36" s="2">
        <v>4.5</v>
      </c>
      <c r="G36" s="3">
        <f t="shared" si="0"/>
        <v>719</v>
      </c>
      <c r="H36" s="2" t="str">
        <f t="shared" si="1"/>
        <v>Excellent</v>
      </c>
      <c r="I36" s="2" t="str">
        <f t="shared" si="2"/>
        <v>Medium Discount</v>
      </c>
    </row>
    <row r="37" spans="1:9">
      <c r="A37" s="2" t="s">
        <v>331</v>
      </c>
      <c r="B37" s="3">
        <v>1620</v>
      </c>
      <c r="C37" s="16">
        <v>2690</v>
      </c>
      <c r="D37" s="20">
        <v>40</v>
      </c>
      <c r="E37" s="18">
        <v>1</v>
      </c>
      <c r="F37" s="2">
        <v>5</v>
      </c>
      <c r="G37" s="3">
        <f t="shared" si="0"/>
        <v>1070</v>
      </c>
      <c r="H37" s="2" t="str">
        <f t="shared" si="1"/>
        <v>Excellent</v>
      </c>
      <c r="I37" s="2" t="str">
        <f t="shared" si="2"/>
        <v>Medium Discount</v>
      </c>
    </row>
    <row r="38" spans="1:9">
      <c r="A38" s="2" t="s">
        <v>120</v>
      </c>
      <c r="B38" s="3">
        <v>171</v>
      </c>
      <c r="C38" s="16">
        <v>360</v>
      </c>
      <c r="D38" s="20">
        <v>53</v>
      </c>
      <c r="E38" s="18">
        <v>2</v>
      </c>
      <c r="F38" s="2">
        <v>5</v>
      </c>
      <c r="G38" s="3">
        <f t="shared" si="0"/>
        <v>189</v>
      </c>
      <c r="H38" s="2" t="str">
        <f t="shared" si="1"/>
        <v>Excellent</v>
      </c>
      <c r="I38" s="2" t="str">
        <f t="shared" si="2"/>
        <v>High Discount</v>
      </c>
    </row>
    <row r="39" spans="1:9">
      <c r="A39" s="2" t="s">
        <v>122</v>
      </c>
      <c r="B39" s="3">
        <v>389</v>
      </c>
      <c r="C39" s="16">
        <v>656</v>
      </c>
      <c r="D39" s="20">
        <v>41</v>
      </c>
      <c r="E39" s="18">
        <v>36</v>
      </c>
      <c r="F39" s="2">
        <v>4.3</v>
      </c>
      <c r="G39" s="3">
        <f t="shared" si="0"/>
        <v>267</v>
      </c>
      <c r="H39" s="2" t="str">
        <f t="shared" si="1"/>
        <v>Average</v>
      </c>
      <c r="I39" s="2" t="str">
        <f t="shared" si="2"/>
        <v>High Discount</v>
      </c>
    </row>
    <row r="40" spans="1:9">
      <c r="A40" s="2" t="s">
        <v>332</v>
      </c>
      <c r="B40" s="3">
        <v>1800</v>
      </c>
      <c r="C40" s="16">
        <v>2700</v>
      </c>
      <c r="D40" s="20">
        <v>38</v>
      </c>
      <c r="E40" s="18">
        <v>2</v>
      </c>
      <c r="F40" s="2">
        <v>4.5</v>
      </c>
      <c r="G40" s="3">
        <f t="shared" si="0"/>
        <v>900</v>
      </c>
      <c r="H40" s="2" t="str">
        <f t="shared" si="1"/>
        <v>Excellent</v>
      </c>
      <c r="I40" s="2" t="str">
        <f t="shared" si="2"/>
        <v>Medium Discount</v>
      </c>
    </row>
    <row r="41" spans="1:9">
      <c r="A41" s="2" t="s">
        <v>128</v>
      </c>
      <c r="B41" s="3">
        <v>2750</v>
      </c>
      <c r="C41" s="16">
        <v>4471</v>
      </c>
      <c r="D41" s="20">
        <v>38</v>
      </c>
      <c r="E41" s="18"/>
      <c r="F41" s="2"/>
      <c r="G41" s="3">
        <f t="shared" si="0"/>
        <v>1721</v>
      </c>
      <c r="H41" s="2" t="str">
        <f t="shared" si="1"/>
        <v>Poor</v>
      </c>
      <c r="I41" s="2" t="str">
        <f t="shared" si="2"/>
        <v>Medium Discount</v>
      </c>
    </row>
    <row r="42" spans="1:9">
      <c r="A42" s="2" t="s">
        <v>131</v>
      </c>
      <c r="B42" s="3">
        <v>475</v>
      </c>
      <c r="C42" s="16">
        <v>931</v>
      </c>
      <c r="D42" s="20">
        <v>49</v>
      </c>
      <c r="E42" s="18"/>
      <c r="F42" s="2"/>
      <c r="G42" s="3">
        <f t="shared" si="0"/>
        <v>456</v>
      </c>
      <c r="H42" s="2" t="str">
        <f t="shared" si="1"/>
        <v>Poor</v>
      </c>
      <c r="I42" s="2" t="str">
        <f t="shared" si="2"/>
        <v>High Discount</v>
      </c>
    </row>
    <row r="43" spans="1:9">
      <c r="A43" s="2" t="s">
        <v>134</v>
      </c>
      <c r="B43" s="3">
        <v>238</v>
      </c>
      <c r="C43" s="16">
        <v>476</v>
      </c>
      <c r="D43" s="20">
        <v>50</v>
      </c>
      <c r="E43" s="18"/>
      <c r="F43" s="2"/>
      <c r="G43" s="3">
        <f t="shared" si="0"/>
        <v>238</v>
      </c>
      <c r="H43" s="2" t="str">
        <f t="shared" si="1"/>
        <v>Poor</v>
      </c>
      <c r="I43" s="2" t="str">
        <f t="shared" si="2"/>
        <v>High Discount</v>
      </c>
    </row>
    <row r="44" spans="1:9">
      <c r="A44" s="2" t="s">
        <v>333</v>
      </c>
      <c r="B44" s="3">
        <v>610</v>
      </c>
      <c r="C44" s="16">
        <v>1060</v>
      </c>
      <c r="D44" s="20">
        <v>42</v>
      </c>
      <c r="E44" s="18"/>
      <c r="F44" s="2"/>
      <c r="G44" s="3">
        <f t="shared" si="0"/>
        <v>450</v>
      </c>
      <c r="H44" s="2" t="str">
        <f t="shared" si="1"/>
        <v>Poor</v>
      </c>
      <c r="I44" s="2" t="str">
        <f t="shared" si="2"/>
        <v>High Discount</v>
      </c>
    </row>
    <row r="45" spans="1:9">
      <c r="A45" s="2" t="s">
        <v>333</v>
      </c>
      <c r="B45" s="3">
        <v>610</v>
      </c>
      <c r="C45" s="16">
        <v>1060</v>
      </c>
      <c r="D45" s="20">
        <v>42</v>
      </c>
      <c r="E45" s="18"/>
      <c r="F45" s="2"/>
      <c r="G45" s="3">
        <f t="shared" si="0"/>
        <v>450</v>
      </c>
      <c r="H45" s="2" t="str">
        <f t="shared" si="1"/>
        <v>Poor</v>
      </c>
      <c r="I45" s="2" t="str">
        <f t="shared" si="2"/>
        <v>High Discount</v>
      </c>
    </row>
    <row r="46" spans="1:9">
      <c r="A46" s="2" t="s">
        <v>140</v>
      </c>
      <c r="B46" s="3">
        <v>2132</v>
      </c>
      <c r="C46" s="16">
        <v>2169</v>
      </c>
      <c r="D46" s="20">
        <v>2</v>
      </c>
      <c r="E46" s="18"/>
      <c r="F46" s="2"/>
      <c r="G46" s="3">
        <f t="shared" si="0"/>
        <v>37</v>
      </c>
      <c r="H46" s="2" t="str">
        <f t="shared" si="1"/>
        <v>Poor</v>
      </c>
      <c r="I46" s="2" t="str">
        <f t="shared" si="2"/>
        <v>Low Discount</v>
      </c>
    </row>
    <row r="47" spans="1:9">
      <c r="A47" s="2" t="s">
        <v>143</v>
      </c>
      <c r="B47" s="3">
        <v>999</v>
      </c>
      <c r="C47" s="16">
        <v>2000</v>
      </c>
      <c r="D47" s="20">
        <v>50</v>
      </c>
      <c r="E47" s="18"/>
      <c r="F47" s="2"/>
      <c r="G47" s="3">
        <f t="shared" si="0"/>
        <v>1001</v>
      </c>
      <c r="H47" s="2" t="str">
        <f t="shared" si="1"/>
        <v>Poor</v>
      </c>
      <c r="I47" s="2" t="str">
        <f t="shared" si="2"/>
        <v>High Discount</v>
      </c>
    </row>
    <row r="48" spans="1:9">
      <c r="A48" s="2" t="s">
        <v>145</v>
      </c>
      <c r="B48" s="3">
        <v>1190</v>
      </c>
      <c r="C48" s="16">
        <v>1785</v>
      </c>
      <c r="D48" s="20">
        <v>33</v>
      </c>
      <c r="E48" s="18"/>
      <c r="F48" s="2"/>
      <c r="G48" s="3">
        <f t="shared" si="0"/>
        <v>595</v>
      </c>
      <c r="H48" s="2" t="str">
        <f t="shared" si="1"/>
        <v>Poor</v>
      </c>
      <c r="I48" s="2" t="str">
        <f t="shared" si="2"/>
        <v>Medium Discount</v>
      </c>
    </row>
    <row r="49" spans="1:9">
      <c r="A49" s="2" t="s">
        <v>148</v>
      </c>
      <c r="B49" s="3">
        <v>671</v>
      </c>
      <c r="C49" s="16">
        <v>1316</v>
      </c>
      <c r="D49" s="20">
        <v>49</v>
      </c>
      <c r="E49" s="18"/>
      <c r="F49" s="2"/>
      <c r="G49" s="3">
        <f t="shared" si="0"/>
        <v>645</v>
      </c>
      <c r="H49" s="2" t="str">
        <f t="shared" si="1"/>
        <v>Poor</v>
      </c>
      <c r="I49" s="2" t="str">
        <f t="shared" si="2"/>
        <v>High Discount</v>
      </c>
    </row>
    <row r="50" spans="1:9">
      <c r="A50" s="2" t="s">
        <v>151</v>
      </c>
      <c r="B50" s="3">
        <v>1200</v>
      </c>
      <c r="C50" s="16">
        <v>1950</v>
      </c>
      <c r="D50" s="20">
        <v>38</v>
      </c>
      <c r="E50" s="18"/>
      <c r="F50" s="2"/>
      <c r="G50" s="3">
        <f t="shared" si="0"/>
        <v>750</v>
      </c>
      <c r="H50" s="2" t="str">
        <f t="shared" si="1"/>
        <v>Poor</v>
      </c>
      <c r="I50" s="2" t="str">
        <f t="shared" si="2"/>
        <v>Medium Discount</v>
      </c>
    </row>
    <row r="51" spans="1:9">
      <c r="A51" s="2" t="s">
        <v>154</v>
      </c>
      <c r="B51" s="3">
        <v>199</v>
      </c>
      <c r="C51" s="16">
        <v>504</v>
      </c>
      <c r="D51" s="20">
        <v>61</v>
      </c>
      <c r="E51" s="18"/>
      <c r="F51" s="2"/>
      <c r="G51" s="3">
        <f t="shared" si="0"/>
        <v>305</v>
      </c>
      <c r="H51" s="2" t="str">
        <f t="shared" si="1"/>
        <v>Poor</v>
      </c>
      <c r="I51" s="2" t="str">
        <f t="shared" si="2"/>
        <v>High Discount</v>
      </c>
    </row>
    <row r="52" spans="1:9">
      <c r="A52" s="2" t="s">
        <v>157</v>
      </c>
      <c r="B52" s="3">
        <v>299</v>
      </c>
      <c r="C52" s="16">
        <v>600</v>
      </c>
      <c r="D52" s="20">
        <v>50</v>
      </c>
      <c r="E52" s="18"/>
      <c r="F52" s="2"/>
      <c r="G52" s="3">
        <f t="shared" si="0"/>
        <v>301</v>
      </c>
      <c r="H52" s="2" t="str">
        <f t="shared" si="1"/>
        <v>Poor</v>
      </c>
      <c r="I52" s="2" t="str">
        <f t="shared" si="2"/>
        <v>High Discount</v>
      </c>
    </row>
    <row r="53" spans="1:9">
      <c r="A53" s="2" t="s">
        <v>160</v>
      </c>
      <c r="B53" s="3">
        <v>1660</v>
      </c>
      <c r="C53" s="16">
        <v>1699</v>
      </c>
      <c r="D53" s="20">
        <v>2</v>
      </c>
      <c r="E53" s="18"/>
      <c r="F53" s="2"/>
      <c r="G53" s="3">
        <f t="shared" si="0"/>
        <v>39</v>
      </c>
      <c r="H53" s="2" t="str">
        <f t="shared" si="1"/>
        <v>Poor</v>
      </c>
      <c r="I53" s="2" t="str">
        <f t="shared" si="2"/>
        <v>Low Discount</v>
      </c>
    </row>
    <row r="54" spans="1:9">
      <c r="A54" s="2" t="s">
        <v>163</v>
      </c>
      <c r="B54" s="3">
        <v>299</v>
      </c>
      <c r="C54" s="16">
        <v>384</v>
      </c>
      <c r="D54" s="20">
        <v>22</v>
      </c>
      <c r="E54" s="18"/>
      <c r="F54" s="2"/>
      <c r="G54" s="3">
        <f t="shared" si="0"/>
        <v>85</v>
      </c>
      <c r="H54" s="2" t="str">
        <f t="shared" si="1"/>
        <v>Poor</v>
      </c>
      <c r="I54" s="2" t="str">
        <f t="shared" si="2"/>
        <v>Medium Discount</v>
      </c>
    </row>
    <row r="55" spans="1:9">
      <c r="A55" s="2" t="s">
        <v>165</v>
      </c>
      <c r="B55" s="3">
        <v>1459</v>
      </c>
      <c r="C55" s="16">
        <v>1499</v>
      </c>
      <c r="D55" s="20">
        <v>3</v>
      </c>
      <c r="E55" s="18"/>
      <c r="F55" s="2"/>
      <c r="G55" s="3">
        <f t="shared" si="0"/>
        <v>40</v>
      </c>
      <c r="H55" s="2" t="str">
        <f t="shared" si="1"/>
        <v>Poor</v>
      </c>
      <c r="I55" s="2" t="str">
        <f t="shared" si="2"/>
        <v>Low Discount</v>
      </c>
    </row>
    <row r="56" spans="1:9">
      <c r="A56" s="2" t="s">
        <v>168</v>
      </c>
      <c r="B56" s="3">
        <v>799</v>
      </c>
      <c r="C56" s="16">
        <v>1343</v>
      </c>
      <c r="D56" s="20">
        <v>41</v>
      </c>
      <c r="E56" s="18"/>
      <c r="F56" s="2"/>
      <c r="G56" s="3">
        <f t="shared" si="0"/>
        <v>544</v>
      </c>
      <c r="H56" s="2" t="str">
        <f t="shared" si="1"/>
        <v>Poor</v>
      </c>
      <c r="I56" s="2" t="str">
        <f t="shared" si="2"/>
        <v>High Discount</v>
      </c>
    </row>
    <row r="57" spans="1:9">
      <c r="A57" s="2" t="s">
        <v>170</v>
      </c>
      <c r="B57" s="3">
        <v>499</v>
      </c>
      <c r="C57" s="16">
        <v>900</v>
      </c>
      <c r="D57" s="20">
        <v>45</v>
      </c>
      <c r="E57" s="18"/>
      <c r="F57" s="2"/>
      <c r="G57" s="3">
        <f t="shared" si="0"/>
        <v>401</v>
      </c>
      <c r="H57" s="2" t="str">
        <f t="shared" si="1"/>
        <v>Poor</v>
      </c>
      <c r="I57" s="2" t="str">
        <f t="shared" si="2"/>
        <v>High Discount</v>
      </c>
    </row>
    <row r="58" spans="1:9">
      <c r="A58" s="2" t="s">
        <v>173</v>
      </c>
      <c r="B58" s="3">
        <v>699</v>
      </c>
      <c r="C58" s="16">
        <v>1343</v>
      </c>
      <c r="D58" s="20">
        <v>48</v>
      </c>
      <c r="E58" s="18"/>
      <c r="F58" s="2"/>
      <c r="G58" s="3">
        <f t="shared" si="0"/>
        <v>644</v>
      </c>
      <c r="H58" s="2" t="str">
        <f t="shared" si="1"/>
        <v>Poor</v>
      </c>
      <c r="I58" s="2" t="str">
        <f t="shared" si="2"/>
        <v>High Discount</v>
      </c>
    </row>
    <row r="59" spans="1:9">
      <c r="A59" s="2" t="s">
        <v>175</v>
      </c>
      <c r="B59" s="3">
        <v>799</v>
      </c>
      <c r="C59" s="16">
        <v>1567</v>
      </c>
      <c r="D59" s="20">
        <v>49</v>
      </c>
      <c r="E59" s="18"/>
      <c r="F59" s="2"/>
      <c r="G59" s="3">
        <f t="shared" si="0"/>
        <v>768</v>
      </c>
      <c r="H59" s="2" t="str">
        <f t="shared" si="1"/>
        <v>Poor</v>
      </c>
      <c r="I59" s="2" t="str">
        <f t="shared" si="2"/>
        <v>High Discount</v>
      </c>
    </row>
    <row r="60" spans="1:9">
      <c r="A60" s="2" t="s">
        <v>177</v>
      </c>
      <c r="B60" s="3">
        <v>2799</v>
      </c>
      <c r="C60" s="16">
        <v>3810</v>
      </c>
      <c r="D60" s="20">
        <v>27</v>
      </c>
      <c r="E60" s="18"/>
      <c r="F60" s="2"/>
      <c r="G60" s="3">
        <f t="shared" si="0"/>
        <v>1011</v>
      </c>
      <c r="H60" s="2" t="str">
        <f t="shared" si="1"/>
        <v>Poor</v>
      </c>
      <c r="I60" s="2" t="str">
        <f t="shared" si="2"/>
        <v>Medium Discount</v>
      </c>
    </row>
    <row r="61" spans="1:9">
      <c r="A61" s="2" t="s">
        <v>170</v>
      </c>
      <c r="B61" s="3">
        <v>399</v>
      </c>
      <c r="C61" s="16">
        <v>896</v>
      </c>
      <c r="D61" s="20">
        <v>55</v>
      </c>
      <c r="E61" s="18"/>
      <c r="F61" s="2"/>
      <c r="G61" s="3">
        <f t="shared" si="0"/>
        <v>497</v>
      </c>
      <c r="H61" s="2" t="str">
        <f t="shared" si="1"/>
        <v>Poor</v>
      </c>
      <c r="I61" s="2" t="str">
        <f t="shared" si="2"/>
        <v>High Discount</v>
      </c>
    </row>
    <row r="62" spans="1:9">
      <c r="A62" s="2" t="s">
        <v>182</v>
      </c>
      <c r="B62" s="3">
        <v>2170</v>
      </c>
      <c r="C62" s="16">
        <v>2500</v>
      </c>
      <c r="D62" s="20">
        <v>13</v>
      </c>
      <c r="E62" s="18">
        <v>6</v>
      </c>
      <c r="F62" s="2">
        <v>2.5</v>
      </c>
      <c r="G62" s="3">
        <f t="shared" si="0"/>
        <v>330</v>
      </c>
      <c r="H62" s="2" t="str">
        <f t="shared" si="1"/>
        <v>Poor</v>
      </c>
      <c r="I62" s="2" t="str">
        <f t="shared" si="2"/>
        <v>Low Discount</v>
      </c>
    </row>
    <row r="63" spans="1:9">
      <c r="A63" s="2" t="s">
        <v>186</v>
      </c>
      <c r="B63" s="3">
        <v>458</v>
      </c>
      <c r="C63" s="16">
        <v>986</v>
      </c>
      <c r="D63" s="20">
        <v>54</v>
      </c>
      <c r="E63" s="18">
        <v>10</v>
      </c>
      <c r="F63" s="2">
        <v>3</v>
      </c>
      <c r="G63" s="3">
        <f t="shared" si="0"/>
        <v>528</v>
      </c>
      <c r="H63" s="2" t="str">
        <f t="shared" si="1"/>
        <v>Average</v>
      </c>
      <c r="I63" s="2" t="str">
        <f t="shared" si="2"/>
        <v>High Discount</v>
      </c>
    </row>
    <row r="64" spans="1:9">
      <c r="A64" s="2" t="s">
        <v>190</v>
      </c>
      <c r="B64" s="3">
        <v>2115</v>
      </c>
      <c r="C64" s="16">
        <v>4700</v>
      </c>
      <c r="D64" s="20">
        <v>55</v>
      </c>
      <c r="E64" s="18">
        <v>13</v>
      </c>
      <c r="F64" s="2">
        <v>2.1</v>
      </c>
      <c r="G64" s="3">
        <f t="shared" si="0"/>
        <v>2585</v>
      </c>
      <c r="H64" s="2" t="str">
        <f t="shared" si="1"/>
        <v>Poor</v>
      </c>
      <c r="I64" s="2" t="str">
        <f t="shared" si="2"/>
        <v>High Discount</v>
      </c>
    </row>
    <row r="65" spans="1:9">
      <c r="A65" s="2" t="s">
        <v>194</v>
      </c>
      <c r="B65" s="3">
        <v>445</v>
      </c>
      <c r="C65" s="16">
        <v>873</v>
      </c>
      <c r="D65" s="20">
        <v>49</v>
      </c>
      <c r="E65" s="18">
        <v>69</v>
      </c>
      <c r="F65" s="2">
        <v>2.8</v>
      </c>
      <c r="G65" s="3">
        <f t="shared" si="0"/>
        <v>428</v>
      </c>
      <c r="H65" s="2" t="str">
        <f t="shared" si="1"/>
        <v>Poor</v>
      </c>
      <c r="I65" s="2" t="str">
        <f t="shared" si="2"/>
        <v>High Discount</v>
      </c>
    </row>
    <row r="66" spans="1:9">
      <c r="A66" s="2" t="s">
        <v>198</v>
      </c>
      <c r="B66" s="3">
        <v>325</v>
      </c>
      <c r="C66" s="16">
        <v>680</v>
      </c>
      <c r="D66" s="20">
        <v>52</v>
      </c>
      <c r="E66" s="18">
        <v>15</v>
      </c>
      <c r="F66" s="2">
        <v>2.7</v>
      </c>
      <c r="G66" s="3">
        <f t="shared" si="0"/>
        <v>355</v>
      </c>
      <c r="H66" s="2" t="str">
        <f t="shared" si="1"/>
        <v>Poor</v>
      </c>
      <c r="I66" s="2" t="str">
        <f t="shared" si="2"/>
        <v>High Discount</v>
      </c>
    </row>
    <row r="67" spans="1:9">
      <c r="A67" s="2" t="s">
        <v>202</v>
      </c>
      <c r="B67" s="3">
        <v>1220</v>
      </c>
      <c r="C67" s="16">
        <v>1555</v>
      </c>
      <c r="D67" s="20">
        <v>22</v>
      </c>
      <c r="E67" s="18">
        <v>16</v>
      </c>
      <c r="F67" s="2">
        <v>2.9</v>
      </c>
      <c r="G67" s="3">
        <f t="shared" ref="G67:G116" si="3">(C67-B67)</f>
        <v>335</v>
      </c>
      <c r="H67" s="2" t="str">
        <f t="shared" ref="H67:H116" si="4">IF(F67&lt;3, "Poor",IF(F67&lt;4.5, "Average", "Excellent"))</f>
        <v>Poor</v>
      </c>
      <c r="I67" s="2" t="str">
        <f t="shared" ref="I67:I117" si="5">IF(D67&lt;20, "Low Discount", IF(D67&lt;=40, "Medium Discount", "High Discount"))</f>
        <v>Medium Discount</v>
      </c>
    </row>
    <row r="68" spans="1:9">
      <c r="A68" s="2" t="s">
        <v>206</v>
      </c>
      <c r="B68" s="3">
        <v>990</v>
      </c>
      <c r="C68" s="16">
        <v>1814</v>
      </c>
      <c r="D68" s="20">
        <v>45</v>
      </c>
      <c r="E68" s="18">
        <v>6</v>
      </c>
      <c r="F68" s="2">
        <v>2.2000000000000002</v>
      </c>
      <c r="G68" s="3">
        <f t="shared" si="3"/>
        <v>824</v>
      </c>
      <c r="H68" s="2" t="str">
        <f t="shared" si="4"/>
        <v>Poor</v>
      </c>
      <c r="I68" s="2" t="str">
        <f t="shared" si="5"/>
        <v>High Discount</v>
      </c>
    </row>
    <row r="69" spans="1:9">
      <c r="A69" s="2" t="s">
        <v>209</v>
      </c>
      <c r="B69" s="3">
        <v>1000</v>
      </c>
      <c r="C69" s="16">
        <v>2000</v>
      </c>
      <c r="D69" s="20">
        <v>50</v>
      </c>
      <c r="E69" s="18">
        <v>7</v>
      </c>
      <c r="F69" s="2">
        <v>2.2999999999999998</v>
      </c>
      <c r="G69" s="3">
        <f t="shared" si="3"/>
        <v>1000</v>
      </c>
      <c r="H69" s="2" t="str">
        <f t="shared" si="4"/>
        <v>Poor</v>
      </c>
      <c r="I69" s="2" t="str">
        <f t="shared" si="5"/>
        <v>High Discount</v>
      </c>
    </row>
    <row r="70" spans="1:9">
      <c r="A70" s="2" t="s">
        <v>212</v>
      </c>
      <c r="B70" s="3">
        <v>3750</v>
      </c>
      <c r="C70" s="16">
        <v>6143</v>
      </c>
      <c r="D70" s="20">
        <v>39</v>
      </c>
      <c r="E70" s="18">
        <v>5</v>
      </c>
      <c r="F70" s="2">
        <v>3</v>
      </c>
      <c r="G70" s="3">
        <f t="shared" si="3"/>
        <v>2393</v>
      </c>
      <c r="H70" s="2" t="str">
        <f t="shared" si="4"/>
        <v>Average</v>
      </c>
      <c r="I70" s="2" t="str">
        <f t="shared" si="5"/>
        <v>Medium Discount</v>
      </c>
    </row>
    <row r="71" spans="1:9">
      <c r="A71" s="2" t="s">
        <v>215</v>
      </c>
      <c r="B71" s="3">
        <v>382</v>
      </c>
      <c r="C71" s="16">
        <v>700</v>
      </c>
      <c r="D71" s="20">
        <v>45</v>
      </c>
      <c r="E71" s="18">
        <v>17</v>
      </c>
      <c r="F71" s="2">
        <v>2.6</v>
      </c>
      <c r="G71" s="3">
        <f t="shared" si="3"/>
        <v>318</v>
      </c>
      <c r="H71" s="2" t="str">
        <f t="shared" si="4"/>
        <v>Poor</v>
      </c>
      <c r="I71" s="2" t="str">
        <f t="shared" si="5"/>
        <v>High Discount</v>
      </c>
    </row>
    <row r="72" spans="1:9">
      <c r="A72" s="2" t="s">
        <v>218</v>
      </c>
      <c r="B72" s="3">
        <v>2300</v>
      </c>
      <c r="C72" s="16">
        <v>3240</v>
      </c>
      <c r="D72" s="20">
        <v>29</v>
      </c>
      <c r="E72" s="18">
        <v>5</v>
      </c>
      <c r="F72" s="2">
        <v>3</v>
      </c>
      <c r="G72" s="3">
        <f t="shared" si="3"/>
        <v>940</v>
      </c>
      <c r="H72" s="2" t="str">
        <f t="shared" si="4"/>
        <v>Average</v>
      </c>
      <c r="I72" s="2" t="str">
        <f t="shared" si="5"/>
        <v>Medium Discount</v>
      </c>
    </row>
    <row r="73" spans="1:9">
      <c r="A73" s="2" t="s">
        <v>221</v>
      </c>
      <c r="B73" s="3">
        <v>345</v>
      </c>
      <c r="C73" s="16">
        <v>602</v>
      </c>
      <c r="D73" s="20">
        <v>43</v>
      </c>
      <c r="E73" s="18">
        <v>6</v>
      </c>
      <c r="F73" s="2">
        <v>2.2999999999999998</v>
      </c>
      <c r="G73" s="3">
        <f t="shared" si="3"/>
        <v>257</v>
      </c>
      <c r="H73" s="2" t="str">
        <f t="shared" si="4"/>
        <v>Poor</v>
      </c>
      <c r="I73" s="2" t="str">
        <f t="shared" si="5"/>
        <v>High Discount</v>
      </c>
    </row>
    <row r="74" spans="1:9">
      <c r="A74" s="2" t="s">
        <v>224</v>
      </c>
      <c r="B74" s="3">
        <v>509</v>
      </c>
      <c r="C74" s="16">
        <v>899</v>
      </c>
      <c r="D74" s="20">
        <v>43</v>
      </c>
      <c r="E74" s="18">
        <v>5</v>
      </c>
      <c r="F74" s="2">
        <v>3</v>
      </c>
      <c r="G74" s="3">
        <f t="shared" si="3"/>
        <v>390</v>
      </c>
      <c r="H74" s="2" t="str">
        <f t="shared" si="4"/>
        <v>Average</v>
      </c>
      <c r="I74" s="2" t="str">
        <f t="shared" si="5"/>
        <v>High Discount</v>
      </c>
    </row>
    <row r="75" spans="1:9">
      <c r="A75" s="2" t="s">
        <v>334</v>
      </c>
      <c r="B75" s="3">
        <v>968</v>
      </c>
      <c r="C75" s="16">
        <v>1814</v>
      </c>
      <c r="D75" s="20">
        <v>47</v>
      </c>
      <c r="E75" s="18">
        <v>6</v>
      </c>
      <c r="F75" s="2">
        <v>2.2000000000000002</v>
      </c>
      <c r="G75" s="3">
        <f t="shared" si="3"/>
        <v>846</v>
      </c>
      <c r="H75" s="2" t="str">
        <f t="shared" si="4"/>
        <v>Poor</v>
      </c>
      <c r="I75" s="2" t="str">
        <f t="shared" si="5"/>
        <v>High Discount</v>
      </c>
    </row>
    <row r="76" spans="1:9">
      <c r="A76" s="2" t="s">
        <v>335</v>
      </c>
      <c r="B76" s="3">
        <v>1570</v>
      </c>
      <c r="C76" s="16">
        <v>2988</v>
      </c>
      <c r="D76" s="20">
        <v>47</v>
      </c>
      <c r="E76" s="18">
        <v>7</v>
      </c>
      <c r="F76" s="2">
        <v>2.1</v>
      </c>
      <c r="G76" s="3">
        <f t="shared" si="3"/>
        <v>1418</v>
      </c>
      <c r="H76" s="2" t="str">
        <f t="shared" si="4"/>
        <v>Poor</v>
      </c>
      <c r="I76" s="2" t="str">
        <f t="shared" si="5"/>
        <v>High Discount</v>
      </c>
    </row>
    <row r="77" spans="1:9">
      <c r="A77" s="2" t="s">
        <v>232</v>
      </c>
      <c r="B77" s="3">
        <v>790</v>
      </c>
      <c r="C77" s="16">
        <v>1485</v>
      </c>
      <c r="D77" s="20">
        <v>47</v>
      </c>
      <c r="E77" s="18"/>
      <c r="F77" s="2"/>
      <c r="G77" s="3">
        <f t="shared" si="3"/>
        <v>695</v>
      </c>
      <c r="H77" s="2" t="str">
        <f t="shared" si="4"/>
        <v>Poor</v>
      </c>
      <c r="I77" s="2" t="str">
        <f t="shared" si="5"/>
        <v>High Discount</v>
      </c>
    </row>
    <row r="78" spans="1:9">
      <c r="A78" s="2" t="s">
        <v>235</v>
      </c>
      <c r="B78" s="3">
        <v>690</v>
      </c>
      <c r="C78" s="16">
        <v>1200</v>
      </c>
      <c r="D78" s="20">
        <v>43</v>
      </c>
      <c r="E78" s="18"/>
      <c r="F78" s="2"/>
      <c r="G78" s="3">
        <f t="shared" si="3"/>
        <v>510</v>
      </c>
      <c r="H78" s="2" t="str">
        <f t="shared" si="4"/>
        <v>Poor</v>
      </c>
      <c r="I78" s="2" t="str">
        <f t="shared" si="5"/>
        <v>High Discount</v>
      </c>
    </row>
    <row r="79" spans="1:9">
      <c r="A79" s="2" t="s">
        <v>237</v>
      </c>
      <c r="B79" s="3">
        <v>1732</v>
      </c>
      <c r="C79" s="16">
        <v>1799</v>
      </c>
      <c r="D79" s="20">
        <v>4</v>
      </c>
      <c r="E79" s="18"/>
      <c r="F79" s="2"/>
      <c r="G79" s="3">
        <f t="shared" si="3"/>
        <v>67</v>
      </c>
      <c r="H79" s="2" t="str">
        <f t="shared" si="4"/>
        <v>Poor</v>
      </c>
      <c r="I79" s="2" t="str">
        <f t="shared" si="5"/>
        <v>Low Discount</v>
      </c>
    </row>
    <row r="80" spans="1:9">
      <c r="A80" s="2" t="s">
        <v>240</v>
      </c>
      <c r="B80" s="3">
        <v>230</v>
      </c>
      <c r="C80" s="16">
        <v>450</v>
      </c>
      <c r="D80" s="20">
        <v>49</v>
      </c>
      <c r="E80" s="18"/>
      <c r="F80" s="2"/>
      <c r="G80" s="3">
        <f t="shared" si="3"/>
        <v>220</v>
      </c>
      <c r="H80" s="2" t="str">
        <f t="shared" si="4"/>
        <v>Poor</v>
      </c>
      <c r="I80" s="2" t="str">
        <f t="shared" si="5"/>
        <v>High Discount</v>
      </c>
    </row>
    <row r="81" spans="1:9">
      <c r="A81" s="2" t="s">
        <v>336</v>
      </c>
      <c r="B81" s="3">
        <v>1189</v>
      </c>
      <c r="C81" s="16">
        <v>2199</v>
      </c>
      <c r="D81" s="20">
        <v>46</v>
      </c>
      <c r="E81" s="18">
        <v>1</v>
      </c>
      <c r="F81" s="2">
        <v>3</v>
      </c>
      <c r="G81" s="3">
        <f t="shared" si="3"/>
        <v>1010</v>
      </c>
      <c r="H81" s="2" t="str">
        <f t="shared" si="4"/>
        <v>Average</v>
      </c>
      <c r="I81" s="2" t="str">
        <f t="shared" si="5"/>
        <v>High Discount</v>
      </c>
    </row>
    <row r="82" spans="1:9">
      <c r="A82" s="2" t="s">
        <v>245</v>
      </c>
      <c r="B82" s="3">
        <v>979</v>
      </c>
      <c r="C82" s="16">
        <v>1920</v>
      </c>
      <c r="D82" s="20">
        <v>49</v>
      </c>
      <c r="E82" s="18">
        <v>1</v>
      </c>
      <c r="F82" s="2">
        <v>5</v>
      </c>
      <c r="G82" s="3">
        <f t="shared" si="3"/>
        <v>941</v>
      </c>
      <c r="H82" s="2" t="str">
        <f t="shared" si="4"/>
        <v>Excellent</v>
      </c>
      <c r="I82" s="2" t="str">
        <f t="shared" si="5"/>
        <v>High Discount</v>
      </c>
    </row>
    <row r="83" spans="1:9">
      <c r="A83" s="2" t="s">
        <v>248</v>
      </c>
      <c r="B83" s="3">
        <v>1460</v>
      </c>
      <c r="C83" s="16">
        <v>2290</v>
      </c>
      <c r="D83" s="20">
        <v>36</v>
      </c>
      <c r="E83" s="18"/>
      <c r="F83" s="2"/>
      <c r="G83" s="3">
        <f t="shared" si="3"/>
        <v>830</v>
      </c>
      <c r="H83" s="2" t="str">
        <f t="shared" si="4"/>
        <v>Poor</v>
      </c>
      <c r="I83" s="2" t="str">
        <f t="shared" si="5"/>
        <v>Medium Discount</v>
      </c>
    </row>
    <row r="84" spans="1:9">
      <c r="A84" s="2" t="s">
        <v>251</v>
      </c>
      <c r="B84" s="3">
        <v>1666</v>
      </c>
      <c r="C84" s="16">
        <v>1699</v>
      </c>
      <c r="D84" s="20">
        <v>2</v>
      </c>
      <c r="E84" s="18"/>
      <c r="F84" s="2"/>
      <c r="G84" s="3">
        <f t="shared" si="3"/>
        <v>33</v>
      </c>
      <c r="H84" s="2" t="str">
        <f t="shared" si="4"/>
        <v>Poor</v>
      </c>
      <c r="I84" s="2" t="str">
        <f t="shared" si="5"/>
        <v>Low Discount</v>
      </c>
    </row>
    <row r="85" spans="1:9">
      <c r="A85" s="2" t="s">
        <v>253</v>
      </c>
      <c r="B85" s="3">
        <v>330</v>
      </c>
      <c r="C85" s="16">
        <v>647</v>
      </c>
      <c r="D85" s="20">
        <v>49</v>
      </c>
      <c r="E85" s="18">
        <v>1</v>
      </c>
      <c r="F85" s="2">
        <v>4</v>
      </c>
      <c r="G85" s="3">
        <f t="shared" si="3"/>
        <v>317</v>
      </c>
      <c r="H85" s="2" t="str">
        <f t="shared" si="4"/>
        <v>Average</v>
      </c>
      <c r="I85" s="2" t="str">
        <f t="shared" si="5"/>
        <v>High Discount</v>
      </c>
    </row>
    <row r="86" spans="1:9">
      <c r="A86" s="2" t="s">
        <v>333</v>
      </c>
      <c r="B86" s="3">
        <v>610</v>
      </c>
      <c r="C86" s="16">
        <v>1060</v>
      </c>
      <c r="D86" s="20">
        <v>42</v>
      </c>
      <c r="E86" s="18"/>
      <c r="F86" s="2"/>
      <c r="G86" s="3">
        <f t="shared" si="3"/>
        <v>450</v>
      </c>
      <c r="H86" s="2" t="str">
        <f t="shared" si="4"/>
        <v>Poor</v>
      </c>
      <c r="I86" s="2" t="str">
        <f t="shared" si="5"/>
        <v>High Discount</v>
      </c>
    </row>
    <row r="87" spans="1:9">
      <c r="A87" s="2" t="s">
        <v>154</v>
      </c>
      <c r="B87" s="3">
        <v>176</v>
      </c>
      <c r="C87" s="16">
        <v>345</v>
      </c>
      <c r="D87" s="20">
        <v>49</v>
      </c>
      <c r="E87" s="18"/>
      <c r="F87" s="2"/>
      <c r="G87" s="3">
        <f t="shared" si="3"/>
        <v>169</v>
      </c>
      <c r="H87" s="2" t="str">
        <f t="shared" si="4"/>
        <v>Poor</v>
      </c>
      <c r="I87" s="2" t="str">
        <f t="shared" si="5"/>
        <v>High Discount</v>
      </c>
    </row>
    <row r="88" spans="1:9">
      <c r="A88" s="2" t="s">
        <v>256</v>
      </c>
      <c r="B88" s="3">
        <v>1466</v>
      </c>
      <c r="C88" s="16">
        <v>1699</v>
      </c>
      <c r="D88" s="20">
        <v>14</v>
      </c>
      <c r="E88" s="18"/>
      <c r="F88" s="2"/>
      <c r="G88" s="3">
        <f t="shared" si="3"/>
        <v>233</v>
      </c>
      <c r="H88" s="2" t="str">
        <f t="shared" si="4"/>
        <v>Poor</v>
      </c>
      <c r="I88" s="2" t="str">
        <f t="shared" si="5"/>
        <v>Low Discount</v>
      </c>
    </row>
    <row r="89" spans="1:9">
      <c r="A89" s="2" t="s">
        <v>258</v>
      </c>
      <c r="B89" s="3">
        <v>274</v>
      </c>
      <c r="C89" s="16">
        <v>537</v>
      </c>
      <c r="D89" s="20">
        <v>49</v>
      </c>
      <c r="E89" s="18"/>
      <c r="F89" s="2"/>
      <c r="G89" s="3">
        <f t="shared" si="3"/>
        <v>263</v>
      </c>
      <c r="H89" s="2" t="str">
        <f t="shared" si="4"/>
        <v>Poor</v>
      </c>
      <c r="I89" s="2" t="str">
        <f t="shared" si="5"/>
        <v>High Discount</v>
      </c>
    </row>
    <row r="90" spans="1:9">
      <c r="A90" s="2" t="s">
        <v>261</v>
      </c>
      <c r="B90" s="3">
        <v>799</v>
      </c>
      <c r="C90" s="16">
        <v>900</v>
      </c>
      <c r="D90" s="20">
        <v>11</v>
      </c>
      <c r="E90" s="18"/>
      <c r="F90" s="2"/>
      <c r="G90" s="3">
        <f t="shared" si="3"/>
        <v>101</v>
      </c>
      <c r="H90" s="2" t="str">
        <f t="shared" si="4"/>
        <v>Poor</v>
      </c>
      <c r="I90" s="2" t="str">
        <f t="shared" si="5"/>
        <v>Low Discount</v>
      </c>
    </row>
    <row r="91" spans="1:9">
      <c r="A91" s="2" t="s">
        <v>175</v>
      </c>
      <c r="B91" s="3">
        <v>657</v>
      </c>
      <c r="C91" s="16">
        <v>1288</v>
      </c>
      <c r="D91" s="20">
        <v>49</v>
      </c>
      <c r="E91" s="18"/>
      <c r="F91" s="2"/>
      <c r="G91" s="3">
        <f t="shared" si="3"/>
        <v>631</v>
      </c>
      <c r="H91" s="2" t="str">
        <f t="shared" si="4"/>
        <v>Poor</v>
      </c>
      <c r="I91" s="2" t="str">
        <f t="shared" si="5"/>
        <v>High Discount</v>
      </c>
    </row>
    <row r="92" spans="1:9">
      <c r="A92" s="2" t="s">
        <v>264</v>
      </c>
      <c r="B92" s="3">
        <v>1468</v>
      </c>
      <c r="C92" s="16">
        <v>1699</v>
      </c>
      <c r="D92" s="20">
        <v>14</v>
      </c>
      <c r="E92" s="18"/>
      <c r="F92" s="2"/>
      <c r="G92" s="3">
        <f t="shared" si="3"/>
        <v>231</v>
      </c>
      <c r="H92" s="2" t="str">
        <f t="shared" si="4"/>
        <v>Poor</v>
      </c>
      <c r="I92" s="2" t="str">
        <f t="shared" si="5"/>
        <v>Low Discount</v>
      </c>
    </row>
    <row r="93" spans="1:9">
      <c r="A93" s="2" t="s">
        <v>266</v>
      </c>
      <c r="B93" s="3">
        <v>630</v>
      </c>
      <c r="C93" s="16">
        <v>1100</v>
      </c>
      <c r="D93" s="20">
        <v>43</v>
      </c>
      <c r="E93" s="18"/>
      <c r="F93" s="2"/>
      <c r="G93" s="3">
        <f t="shared" si="3"/>
        <v>470</v>
      </c>
      <c r="H93" s="2" t="str">
        <f t="shared" si="4"/>
        <v>Poor</v>
      </c>
      <c r="I93" s="2" t="str">
        <f t="shared" si="5"/>
        <v>High Discount</v>
      </c>
    </row>
    <row r="94" spans="1:9">
      <c r="A94" s="2" t="s">
        <v>269</v>
      </c>
      <c r="B94" s="3">
        <v>850</v>
      </c>
      <c r="C94" s="16">
        <v>1700</v>
      </c>
      <c r="D94" s="20">
        <v>50</v>
      </c>
      <c r="E94" s="18"/>
      <c r="F94" s="2"/>
      <c r="G94" s="3">
        <f t="shared" si="3"/>
        <v>850</v>
      </c>
      <c r="H94" s="2" t="str">
        <f t="shared" si="4"/>
        <v>Poor</v>
      </c>
      <c r="I94" s="2" t="str">
        <f t="shared" si="5"/>
        <v>High Discount</v>
      </c>
    </row>
    <row r="95" spans="1:9">
      <c r="A95" s="2" t="s">
        <v>272</v>
      </c>
      <c r="B95" s="3">
        <v>1300</v>
      </c>
      <c r="C95" s="16">
        <v>2500</v>
      </c>
      <c r="D95" s="20">
        <v>48</v>
      </c>
      <c r="E95" s="18"/>
      <c r="F95" s="2"/>
      <c r="G95" s="3">
        <f t="shared" si="3"/>
        <v>1200</v>
      </c>
      <c r="H95" s="2" t="str">
        <f t="shared" si="4"/>
        <v>Poor</v>
      </c>
      <c r="I95" s="2" t="str">
        <f t="shared" si="5"/>
        <v>High Discount</v>
      </c>
    </row>
    <row r="96" spans="1:9">
      <c r="A96" s="2" t="s">
        <v>274</v>
      </c>
      <c r="B96" s="3">
        <v>105</v>
      </c>
      <c r="C96" s="16">
        <v>200</v>
      </c>
      <c r="D96" s="20">
        <v>48</v>
      </c>
      <c r="E96" s="18"/>
      <c r="F96" s="2"/>
      <c r="G96" s="3">
        <f t="shared" si="3"/>
        <v>95</v>
      </c>
      <c r="H96" s="2" t="str">
        <f t="shared" si="4"/>
        <v>Poor</v>
      </c>
      <c r="I96" s="2" t="str">
        <f t="shared" si="5"/>
        <v>High Discount</v>
      </c>
    </row>
    <row r="97" spans="1:9">
      <c r="A97" s="2" t="s">
        <v>277</v>
      </c>
      <c r="B97" s="3">
        <v>899</v>
      </c>
      <c r="C97" s="16">
        <v>1699</v>
      </c>
      <c r="D97" s="20">
        <v>47</v>
      </c>
      <c r="E97" s="18"/>
      <c r="F97" s="2"/>
      <c r="G97" s="3">
        <f t="shared" si="3"/>
        <v>800</v>
      </c>
      <c r="H97" s="2" t="str">
        <f t="shared" si="4"/>
        <v>Poor</v>
      </c>
      <c r="I97" s="2" t="str">
        <f t="shared" si="5"/>
        <v>High Discount</v>
      </c>
    </row>
    <row r="98" spans="1:9">
      <c r="A98" s="2" t="s">
        <v>277</v>
      </c>
      <c r="B98" s="3">
        <v>899</v>
      </c>
      <c r="C98" s="16">
        <v>1699</v>
      </c>
      <c r="D98" s="20">
        <v>47</v>
      </c>
      <c r="E98" s="18"/>
      <c r="F98" s="2"/>
      <c r="G98" s="3">
        <f t="shared" si="3"/>
        <v>800</v>
      </c>
      <c r="H98" s="2" t="str">
        <f t="shared" si="4"/>
        <v>Poor</v>
      </c>
      <c r="I98" s="2" t="str">
        <f t="shared" si="5"/>
        <v>High Discount</v>
      </c>
    </row>
    <row r="99" spans="1:9">
      <c r="A99" s="2" t="s">
        <v>278</v>
      </c>
      <c r="B99" s="3">
        <v>1200</v>
      </c>
      <c r="C99" s="16">
        <v>2400</v>
      </c>
      <c r="D99" s="20">
        <v>50</v>
      </c>
      <c r="E99" s="18"/>
      <c r="F99" s="2"/>
      <c r="G99" s="3">
        <f t="shared" si="3"/>
        <v>1200</v>
      </c>
      <c r="H99" s="2" t="str">
        <f t="shared" si="4"/>
        <v>Poor</v>
      </c>
      <c r="I99" s="2" t="str">
        <f t="shared" si="5"/>
        <v>High Discount</v>
      </c>
    </row>
    <row r="100" spans="1:9">
      <c r="A100" s="2" t="s">
        <v>280</v>
      </c>
      <c r="B100" s="3">
        <v>1526</v>
      </c>
      <c r="C100" s="16">
        <v>1660</v>
      </c>
      <c r="D100" s="20">
        <v>8</v>
      </c>
      <c r="E100" s="18"/>
      <c r="F100" s="2"/>
      <c r="G100" s="3">
        <f t="shared" si="3"/>
        <v>134</v>
      </c>
      <c r="H100" s="2" t="str">
        <f t="shared" si="4"/>
        <v>Poor</v>
      </c>
      <c r="I100" s="2" t="str">
        <f t="shared" si="5"/>
        <v>Low Discount</v>
      </c>
    </row>
    <row r="101" spans="1:9">
      <c r="A101" s="2" t="s">
        <v>282</v>
      </c>
      <c r="B101" s="3">
        <v>1462</v>
      </c>
      <c r="C101" s="16">
        <v>1499</v>
      </c>
      <c r="D101" s="20">
        <v>2</v>
      </c>
      <c r="E101" s="18"/>
      <c r="F101" s="2"/>
      <c r="G101" s="3">
        <f t="shared" si="3"/>
        <v>37</v>
      </c>
      <c r="H101" s="2" t="str">
        <f t="shared" si="4"/>
        <v>Poor</v>
      </c>
      <c r="I101" s="2" t="str">
        <f t="shared" si="5"/>
        <v>Low Discount</v>
      </c>
    </row>
    <row r="102" spans="1:9">
      <c r="A102" s="2" t="s">
        <v>284</v>
      </c>
      <c r="B102" s="3">
        <v>248</v>
      </c>
      <c r="C102" s="16">
        <v>486</v>
      </c>
      <c r="D102" s="20">
        <v>49</v>
      </c>
      <c r="E102" s="18"/>
      <c r="F102" s="2"/>
      <c r="G102" s="3">
        <f t="shared" si="3"/>
        <v>238</v>
      </c>
      <c r="H102" s="2" t="str">
        <f t="shared" si="4"/>
        <v>Poor</v>
      </c>
      <c r="I102" s="2" t="str">
        <f t="shared" si="5"/>
        <v>High Discount</v>
      </c>
    </row>
    <row r="103" spans="1:9">
      <c r="A103" s="2" t="s">
        <v>287</v>
      </c>
      <c r="B103" s="3">
        <v>3546</v>
      </c>
      <c r="C103" s="16">
        <v>3699</v>
      </c>
      <c r="D103" s="20">
        <v>4</v>
      </c>
      <c r="E103" s="18"/>
      <c r="F103" s="2"/>
      <c r="G103" s="3">
        <f t="shared" si="3"/>
        <v>153</v>
      </c>
      <c r="H103" s="2" t="str">
        <f t="shared" si="4"/>
        <v>Poor</v>
      </c>
      <c r="I103" s="2" t="str">
        <f t="shared" si="5"/>
        <v>Low Discount</v>
      </c>
    </row>
    <row r="104" spans="1:9">
      <c r="A104" s="2" t="s">
        <v>289</v>
      </c>
      <c r="B104" s="3">
        <v>525</v>
      </c>
      <c r="C104" s="16">
        <v>1029</v>
      </c>
      <c r="D104" s="20">
        <v>49</v>
      </c>
      <c r="E104" s="18"/>
      <c r="F104" s="2"/>
      <c r="G104" s="3">
        <f t="shared" si="3"/>
        <v>504</v>
      </c>
      <c r="H104" s="2" t="str">
        <f t="shared" si="4"/>
        <v>Poor</v>
      </c>
      <c r="I104" s="2" t="str">
        <f t="shared" si="5"/>
        <v>High Discount</v>
      </c>
    </row>
    <row r="105" spans="1:9">
      <c r="A105" s="2" t="s">
        <v>292</v>
      </c>
      <c r="B105" s="3">
        <v>1080</v>
      </c>
      <c r="C105" s="16">
        <v>1874</v>
      </c>
      <c r="D105" s="20">
        <v>42</v>
      </c>
      <c r="E105" s="18"/>
      <c r="F105" s="2"/>
      <c r="G105" s="3">
        <f t="shared" si="3"/>
        <v>794</v>
      </c>
      <c r="H105" s="2" t="str">
        <f t="shared" si="4"/>
        <v>Poor</v>
      </c>
      <c r="I105" s="2" t="str">
        <f t="shared" si="5"/>
        <v>High Discount</v>
      </c>
    </row>
    <row r="106" spans="1:9">
      <c r="A106" s="2" t="s">
        <v>337</v>
      </c>
      <c r="B106" s="3">
        <v>3640</v>
      </c>
      <c r="C106" s="16">
        <v>4588</v>
      </c>
      <c r="D106" s="20">
        <v>21</v>
      </c>
      <c r="E106" s="18">
        <v>1</v>
      </c>
      <c r="F106" s="2">
        <v>5</v>
      </c>
      <c r="G106" s="3">
        <f t="shared" si="3"/>
        <v>948</v>
      </c>
      <c r="H106" s="2" t="str">
        <f t="shared" si="4"/>
        <v>Excellent</v>
      </c>
      <c r="I106" s="2" t="str">
        <f t="shared" si="5"/>
        <v>Medium Discount</v>
      </c>
    </row>
    <row r="107" spans="1:9">
      <c r="A107" s="2" t="s">
        <v>338</v>
      </c>
      <c r="B107" s="3">
        <v>1420</v>
      </c>
      <c r="C107" s="16">
        <v>2420</v>
      </c>
      <c r="D107" s="20">
        <v>41</v>
      </c>
      <c r="E107" s="18"/>
      <c r="F107" s="2"/>
      <c r="G107" s="3">
        <f t="shared" si="3"/>
        <v>1000</v>
      </c>
      <c r="H107" s="2" t="str">
        <f t="shared" si="4"/>
        <v>Poor</v>
      </c>
      <c r="I107" s="2" t="str">
        <f t="shared" si="5"/>
        <v>High Discount</v>
      </c>
    </row>
    <row r="108" spans="1:9">
      <c r="A108" s="2" t="s">
        <v>301</v>
      </c>
      <c r="B108" s="3">
        <v>1875</v>
      </c>
      <c r="C108" s="16">
        <v>1899</v>
      </c>
      <c r="D108" s="20">
        <v>1</v>
      </c>
      <c r="E108" s="18"/>
      <c r="F108" s="2"/>
      <c r="G108" s="3">
        <f t="shared" si="3"/>
        <v>24</v>
      </c>
      <c r="H108" s="2" t="str">
        <f t="shared" si="4"/>
        <v>Poor</v>
      </c>
      <c r="I108" s="2" t="str">
        <f t="shared" si="5"/>
        <v>Low Discount</v>
      </c>
    </row>
    <row r="109" spans="1:9">
      <c r="A109" s="2" t="s">
        <v>304</v>
      </c>
      <c r="B109" s="3">
        <v>198</v>
      </c>
      <c r="C109" s="16">
        <v>260</v>
      </c>
      <c r="D109" s="20">
        <v>24</v>
      </c>
      <c r="E109" s="18"/>
      <c r="F109" s="2"/>
      <c r="G109" s="3">
        <f t="shared" si="3"/>
        <v>62</v>
      </c>
      <c r="H109" s="2" t="str">
        <f t="shared" si="4"/>
        <v>Poor</v>
      </c>
      <c r="I109" s="2" t="str">
        <f t="shared" si="5"/>
        <v>Medium Discount</v>
      </c>
    </row>
    <row r="110" spans="1:9">
      <c r="A110" s="2" t="s">
        <v>307</v>
      </c>
      <c r="B110" s="3">
        <v>1150</v>
      </c>
      <c r="C110" s="16">
        <v>1737</v>
      </c>
      <c r="D110" s="20">
        <v>34</v>
      </c>
      <c r="E110" s="18"/>
      <c r="F110" s="2"/>
      <c r="G110" s="3">
        <f t="shared" si="3"/>
        <v>587</v>
      </c>
      <c r="H110" s="2" t="str">
        <f t="shared" si="4"/>
        <v>Poor</v>
      </c>
      <c r="I110" s="2" t="str">
        <f t="shared" si="5"/>
        <v>Medium Discount</v>
      </c>
    </row>
    <row r="111" spans="1:9">
      <c r="A111" s="2" t="s">
        <v>310</v>
      </c>
      <c r="B111" s="3">
        <v>1190</v>
      </c>
      <c r="C111" s="16">
        <v>1810</v>
      </c>
      <c r="D111" s="20">
        <v>34</v>
      </c>
      <c r="E111" s="18"/>
      <c r="F111" s="2"/>
      <c r="G111" s="3">
        <f t="shared" si="3"/>
        <v>620</v>
      </c>
      <c r="H111" s="2" t="str">
        <f t="shared" si="4"/>
        <v>Poor</v>
      </c>
      <c r="I111" s="2" t="str">
        <f t="shared" si="5"/>
        <v>Medium Discount</v>
      </c>
    </row>
    <row r="112" spans="1:9">
      <c r="A112" s="2" t="s">
        <v>312</v>
      </c>
      <c r="B112" s="3">
        <v>1658</v>
      </c>
      <c r="C112" s="16">
        <v>1699</v>
      </c>
      <c r="D112" s="20">
        <v>2</v>
      </c>
      <c r="E112" s="18"/>
      <c r="F112" s="2"/>
      <c r="G112" s="3">
        <f t="shared" si="3"/>
        <v>41</v>
      </c>
      <c r="H112" s="2" t="str">
        <f t="shared" si="4"/>
        <v>Poor</v>
      </c>
      <c r="I112" s="2" t="str">
        <f t="shared" si="5"/>
        <v>Low Discount</v>
      </c>
    </row>
    <row r="113" spans="1:9">
      <c r="A113" s="2" t="s">
        <v>314</v>
      </c>
      <c r="B113" s="3">
        <v>1768</v>
      </c>
      <c r="C113" s="16">
        <v>1799</v>
      </c>
      <c r="D113" s="20">
        <v>2</v>
      </c>
      <c r="E113" s="18"/>
      <c r="F113" s="2"/>
      <c r="G113" s="3">
        <f t="shared" si="3"/>
        <v>31</v>
      </c>
      <c r="H113" s="2" t="str">
        <f t="shared" si="4"/>
        <v>Poor</v>
      </c>
      <c r="I113" s="2" t="str">
        <f t="shared" si="5"/>
        <v>Low Discount</v>
      </c>
    </row>
    <row r="114" spans="1:9">
      <c r="A114" s="2" t="s">
        <v>316</v>
      </c>
      <c r="B114" s="3">
        <v>199</v>
      </c>
      <c r="C114" s="16">
        <v>553</v>
      </c>
      <c r="D114" s="20">
        <v>64</v>
      </c>
      <c r="E114" s="18"/>
      <c r="F114" s="2"/>
      <c r="G114" s="3">
        <f t="shared" si="3"/>
        <v>354</v>
      </c>
      <c r="H114" s="2" t="str">
        <f t="shared" si="4"/>
        <v>Poor</v>
      </c>
      <c r="I114" s="2" t="str">
        <f t="shared" si="5"/>
        <v>High Discount</v>
      </c>
    </row>
    <row r="115" spans="1:9">
      <c r="A115" s="2" t="s">
        <v>318</v>
      </c>
      <c r="B115" s="3">
        <v>450</v>
      </c>
      <c r="C115" s="16">
        <v>900</v>
      </c>
      <c r="D115" s="20">
        <v>50</v>
      </c>
      <c r="E115" s="18">
        <v>1</v>
      </c>
      <c r="F115" s="2">
        <v>2</v>
      </c>
      <c r="G115" s="3">
        <f t="shared" si="3"/>
        <v>450</v>
      </c>
      <c r="H115" s="2" t="str">
        <f t="shared" si="4"/>
        <v>Poor</v>
      </c>
      <c r="I115" s="2" t="str">
        <f t="shared" si="5"/>
        <v>High Discount</v>
      </c>
    </row>
    <row r="116" spans="1:9">
      <c r="A116" s="2" t="s">
        <v>320</v>
      </c>
      <c r="B116" s="3">
        <v>169</v>
      </c>
      <c r="C116" s="16">
        <v>320</v>
      </c>
      <c r="D116" s="20">
        <v>47</v>
      </c>
      <c r="E116" s="18"/>
      <c r="F116" s="2"/>
      <c r="G116" s="3">
        <f t="shared" si="3"/>
        <v>151</v>
      </c>
      <c r="H116" s="2" t="str">
        <f t="shared" si="4"/>
        <v>Poor</v>
      </c>
      <c r="I116" s="2" t="str">
        <f t="shared" si="5"/>
        <v>High Discount</v>
      </c>
    </row>
    <row r="117" spans="1:9">
      <c r="A117" s="2"/>
      <c r="B117" s="3"/>
      <c r="C117" s="16"/>
      <c r="D117" s="22"/>
      <c r="E117" s="18"/>
      <c r="F117" s="2"/>
      <c r="G117" s="3"/>
      <c r="H117" s="2"/>
      <c r="I117" s="2" t="str">
        <f t="shared" si="5"/>
        <v>Low Discount</v>
      </c>
    </row>
    <row r="118" spans="1:9">
      <c r="D118" s="23"/>
      <c r="E118" s="4"/>
    </row>
    <row r="119" spans="1:9">
      <c r="D119" s="23"/>
      <c r="E119" s="4"/>
    </row>
    <row r="120" spans="1:9">
      <c r="D120" s="23"/>
      <c r="E120" s="4"/>
    </row>
    <row r="121" spans="1:9">
      <c r="D121" s="23"/>
      <c r="E121" s="4"/>
    </row>
    <row r="122" spans="1:9">
      <c r="D122" s="23"/>
      <c r="E122" s="4"/>
    </row>
    <row r="123" spans="1:9">
      <c r="D123" s="23"/>
      <c r="E123" s="4"/>
    </row>
    <row r="124" spans="1:9">
      <c r="D124" s="23"/>
      <c r="E124" s="4"/>
    </row>
    <row r="125" spans="1:9">
      <c r="D125" s="23"/>
      <c r="E125" s="4"/>
    </row>
    <row r="126" spans="1:9">
      <c r="D126" s="23"/>
      <c r="E126" s="4"/>
    </row>
    <row r="127" spans="1:9">
      <c r="D127" s="23"/>
      <c r="E127"/>
    </row>
    <row r="128" spans="1:9">
      <c r="D128" s="23"/>
      <c r="E128"/>
    </row>
    <row r="129" spans="4:5">
      <c r="D129" s="23"/>
      <c r="E129"/>
    </row>
    <row r="130" spans="4:5">
      <c r="D130" s="23"/>
      <c r="E130"/>
    </row>
    <row r="131" spans="4:5">
      <c r="D131" s="23"/>
      <c r="E131"/>
    </row>
    <row r="132" spans="4:5">
      <c r="D132" s="23"/>
      <c r="E132"/>
    </row>
    <row r="133" spans="4:5">
      <c r="D133" s="23"/>
      <c r="E133"/>
    </row>
    <row r="134" spans="4:5">
      <c r="D134" s="23"/>
      <c r="E134"/>
    </row>
    <row r="135" spans="4:5">
      <c r="D135" s="23"/>
      <c r="E135"/>
    </row>
    <row r="136" spans="4:5">
      <c r="D136" s="23"/>
      <c r="E136"/>
    </row>
    <row r="137" spans="4:5">
      <c r="D137" s="23"/>
      <c r="E137"/>
    </row>
    <row r="138" spans="4:5">
      <c r="D138" s="23"/>
      <c r="E138"/>
    </row>
    <row r="139" spans="4:5">
      <c r="D139" s="23"/>
      <c r="E139"/>
    </row>
    <row r="140" spans="4:5">
      <c r="D140" s="23"/>
      <c r="E140"/>
    </row>
    <row r="141" spans="4:5">
      <c r="D141" s="23"/>
      <c r="E141"/>
    </row>
    <row r="142" spans="4:5">
      <c r="D142" s="23"/>
      <c r="E142"/>
    </row>
    <row r="143" spans="4:5">
      <c r="D143" s="23"/>
      <c r="E143"/>
    </row>
    <row r="144" spans="4:5">
      <c r="D144" s="23"/>
      <c r="E144"/>
    </row>
    <row r="145" spans="4:5">
      <c r="D145" s="23"/>
      <c r="E145"/>
    </row>
    <row r="146" spans="4:5">
      <c r="D146" s="23"/>
      <c r="E146"/>
    </row>
    <row r="147" spans="4:5">
      <c r="D147" s="23"/>
      <c r="E147"/>
    </row>
    <row r="148" spans="4:5">
      <c r="D148" s="23"/>
      <c r="E148"/>
    </row>
    <row r="149" spans="4:5">
      <c r="D149" s="23"/>
      <c r="E149"/>
    </row>
    <row r="150" spans="4:5">
      <c r="D150" s="23"/>
      <c r="E150"/>
    </row>
    <row r="151" spans="4:5">
      <c r="D151" s="23"/>
      <c r="E151"/>
    </row>
    <row r="152" spans="4:5">
      <c r="D152" s="23"/>
      <c r="E152"/>
    </row>
    <row r="153" spans="4:5">
      <c r="D153" s="23"/>
      <c r="E153"/>
    </row>
    <row r="154" spans="4:5">
      <c r="D154" s="23"/>
      <c r="E154"/>
    </row>
    <row r="155" spans="4:5">
      <c r="D155" s="23"/>
      <c r="E155"/>
    </row>
    <row r="156" spans="4:5">
      <c r="D156" s="23"/>
      <c r="E156"/>
    </row>
    <row r="157" spans="4:5">
      <c r="D157" s="23"/>
      <c r="E157"/>
    </row>
    <row r="158" spans="4:5">
      <c r="D158" s="23"/>
      <c r="E158"/>
    </row>
    <row r="159" spans="4:5">
      <c r="D159" s="23"/>
      <c r="E159"/>
    </row>
    <row r="160" spans="4:5">
      <c r="D160" s="23"/>
      <c r="E160"/>
    </row>
    <row r="161" spans="4:5">
      <c r="D161" s="23"/>
      <c r="E161"/>
    </row>
    <row r="162" spans="4:5">
      <c r="D162" s="23"/>
      <c r="E162"/>
    </row>
    <row r="163" spans="4:5">
      <c r="D163" s="23"/>
      <c r="E163"/>
    </row>
    <row r="164" spans="4:5">
      <c r="D164" s="23"/>
      <c r="E164"/>
    </row>
    <row r="165" spans="4:5">
      <c r="D165" s="23"/>
      <c r="E165"/>
    </row>
    <row r="166" spans="4:5">
      <c r="D166" s="23"/>
      <c r="E166"/>
    </row>
    <row r="167" spans="4:5">
      <c r="D167" s="23"/>
      <c r="E167"/>
    </row>
    <row r="168" spans="4:5">
      <c r="D168" s="23"/>
      <c r="E168"/>
    </row>
    <row r="169" spans="4:5">
      <c r="D169" s="23"/>
      <c r="E169"/>
    </row>
    <row r="170" spans="4:5">
      <c r="D170" s="23"/>
      <c r="E170"/>
    </row>
    <row r="171" spans="4:5">
      <c r="D171" s="23"/>
      <c r="E171"/>
    </row>
    <row r="172" spans="4:5">
      <c r="D172" s="23"/>
      <c r="E172"/>
    </row>
    <row r="173" spans="4:5">
      <c r="D173" s="23"/>
      <c r="E173"/>
    </row>
    <row r="174" spans="4:5">
      <c r="D174" s="23"/>
      <c r="E174"/>
    </row>
    <row r="175" spans="4:5">
      <c r="D175" s="23"/>
      <c r="E175"/>
    </row>
    <row r="176" spans="4:5">
      <c r="D176" s="23"/>
      <c r="E176"/>
    </row>
    <row r="177" spans="4:5">
      <c r="D177" s="23"/>
      <c r="E177"/>
    </row>
    <row r="178" spans="4:5">
      <c r="D178" s="23"/>
      <c r="E178"/>
    </row>
    <row r="179" spans="4:5">
      <c r="D179" s="23"/>
      <c r="E179"/>
    </row>
    <row r="180" spans="4:5">
      <c r="D180" s="23"/>
      <c r="E180"/>
    </row>
    <row r="181" spans="4:5">
      <c r="D181" s="23"/>
      <c r="E181"/>
    </row>
    <row r="182" spans="4:5">
      <c r="D182" s="23"/>
      <c r="E182"/>
    </row>
    <row r="183" spans="4:5">
      <c r="D183" s="23"/>
      <c r="E183"/>
    </row>
    <row r="184" spans="4:5">
      <c r="D184" s="23"/>
      <c r="E184"/>
    </row>
    <row r="185" spans="4:5">
      <c r="D185" s="23"/>
      <c r="E185"/>
    </row>
    <row r="186" spans="4:5">
      <c r="D186" s="23"/>
      <c r="E186"/>
    </row>
    <row r="187" spans="4:5">
      <c r="D187" s="23"/>
      <c r="E187"/>
    </row>
    <row r="188" spans="4:5">
      <c r="D188" s="23"/>
      <c r="E188"/>
    </row>
    <row r="189" spans="4:5">
      <c r="D189" s="23"/>
      <c r="E189"/>
    </row>
    <row r="190" spans="4:5">
      <c r="D190" s="23"/>
      <c r="E190"/>
    </row>
    <row r="191" spans="4:5">
      <c r="D191" s="23"/>
      <c r="E191"/>
    </row>
    <row r="192" spans="4:5">
      <c r="D192" s="23"/>
      <c r="E192"/>
    </row>
    <row r="193" spans="4:5">
      <c r="D193" s="23"/>
      <c r="E193"/>
    </row>
    <row r="194" spans="4:5">
      <c r="D194" s="23"/>
      <c r="E194"/>
    </row>
    <row r="195" spans="4:5">
      <c r="D195" s="23"/>
      <c r="E195"/>
    </row>
    <row r="196" spans="4:5">
      <c r="D196" s="23"/>
      <c r="E196"/>
    </row>
    <row r="197" spans="4:5">
      <c r="D197" s="23"/>
      <c r="E197"/>
    </row>
    <row r="198" spans="4:5">
      <c r="D198" s="23"/>
      <c r="E198"/>
    </row>
    <row r="199" spans="4:5">
      <c r="D199" s="23"/>
      <c r="E199"/>
    </row>
    <row r="200" spans="4:5">
      <c r="D200" s="23"/>
      <c r="E200"/>
    </row>
    <row r="201" spans="4:5">
      <c r="D201" s="23"/>
      <c r="E201"/>
    </row>
    <row r="202" spans="4:5">
      <c r="D202" s="23"/>
      <c r="E202"/>
    </row>
    <row r="203" spans="4:5">
      <c r="D203" s="23"/>
      <c r="E203"/>
    </row>
    <row r="204" spans="4:5">
      <c r="D204" s="23"/>
      <c r="E204"/>
    </row>
    <row r="205" spans="4:5">
      <c r="D205" s="23"/>
      <c r="E205"/>
    </row>
    <row r="206" spans="4:5">
      <c r="D206" s="23"/>
      <c r="E206"/>
    </row>
    <row r="207" spans="4:5">
      <c r="D207" s="23"/>
      <c r="E207"/>
    </row>
    <row r="208" spans="4:5">
      <c r="D208" s="23"/>
      <c r="E208"/>
    </row>
    <row r="209" spans="4:5">
      <c r="D209" s="23"/>
      <c r="E209"/>
    </row>
    <row r="210" spans="4:5">
      <c r="D210" s="23"/>
      <c r="E210"/>
    </row>
    <row r="211" spans="4:5">
      <c r="D211" s="23"/>
      <c r="E211"/>
    </row>
    <row r="212" spans="4:5">
      <c r="D212" s="23"/>
      <c r="E212"/>
    </row>
    <row r="213" spans="4:5">
      <c r="D213" s="23"/>
      <c r="E213"/>
    </row>
    <row r="214" spans="4:5">
      <c r="D214" s="23"/>
      <c r="E214"/>
    </row>
    <row r="215" spans="4:5">
      <c r="D215" s="23"/>
      <c r="E215"/>
    </row>
    <row r="216" spans="4:5">
      <c r="D216" s="23"/>
      <c r="E216"/>
    </row>
    <row r="217" spans="4:5">
      <c r="D217" s="23"/>
      <c r="E217"/>
    </row>
    <row r="218" spans="4:5">
      <c r="D218" s="23"/>
      <c r="E218"/>
    </row>
    <row r="219" spans="4:5">
      <c r="D219" s="23"/>
      <c r="E219"/>
    </row>
    <row r="220" spans="4:5">
      <c r="D220" s="23"/>
      <c r="E220"/>
    </row>
    <row r="221" spans="4:5">
      <c r="D221" s="23"/>
      <c r="E221"/>
    </row>
    <row r="222" spans="4:5">
      <c r="D222" s="23"/>
      <c r="E222"/>
    </row>
    <row r="223" spans="4:5">
      <c r="D223" s="23"/>
      <c r="E223"/>
    </row>
    <row r="224" spans="4:5">
      <c r="D224" s="23"/>
      <c r="E224"/>
    </row>
    <row r="225" spans="4:5">
      <c r="D225" s="23"/>
      <c r="E225"/>
    </row>
    <row r="226" spans="4:5">
      <c r="D226" s="23"/>
      <c r="E226"/>
    </row>
    <row r="227" spans="4:5">
      <c r="D227" s="23"/>
      <c r="E227"/>
    </row>
    <row r="228" spans="4:5">
      <c r="D228" s="23"/>
      <c r="E228"/>
    </row>
    <row r="229" spans="4:5">
      <c r="D229" s="23"/>
      <c r="E229"/>
    </row>
    <row r="230" spans="4:5">
      <c r="D230" s="23"/>
      <c r="E230"/>
    </row>
    <row r="231" spans="4:5">
      <c r="D231" s="23"/>
      <c r="E231"/>
    </row>
    <row r="232" spans="4:5">
      <c r="D232" s="23"/>
      <c r="E232"/>
    </row>
    <row r="233" spans="4:5">
      <c r="D233" s="23"/>
      <c r="E233"/>
    </row>
    <row r="234" spans="4:5">
      <c r="D234" s="23"/>
      <c r="E234"/>
    </row>
    <row r="235" spans="4:5">
      <c r="D235" s="23"/>
      <c r="E235"/>
    </row>
    <row r="236" spans="4:5">
      <c r="D236" s="23"/>
      <c r="E236"/>
    </row>
    <row r="237" spans="4:5">
      <c r="D237" s="23"/>
      <c r="E237"/>
    </row>
    <row r="238" spans="4:5">
      <c r="D238" s="23"/>
      <c r="E238"/>
    </row>
    <row r="239" spans="4:5">
      <c r="D239" s="23"/>
      <c r="E239"/>
    </row>
    <row r="240" spans="4:5">
      <c r="D240" s="23"/>
      <c r="E240"/>
    </row>
    <row r="241" spans="4:5">
      <c r="D241" s="23"/>
      <c r="E241"/>
    </row>
    <row r="242" spans="4:5">
      <c r="D242" s="23"/>
      <c r="E242"/>
    </row>
    <row r="243" spans="4:5">
      <c r="D243" s="23"/>
      <c r="E243"/>
    </row>
    <row r="244" spans="4:5">
      <c r="D244" s="23"/>
      <c r="E244"/>
    </row>
    <row r="245" spans="4:5">
      <c r="D245" s="23"/>
      <c r="E245"/>
    </row>
    <row r="246" spans="4:5">
      <c r="D246" s="23"/>
      <c r="E246"/>
    </row>
    <row r="247" spans="4:5">
      <c r="D247" s="23"/>
      <c r="E247"/>
    </row>
    <row r="248" spans="4:5">
      <c r="D248" s="23"/>
      <c r="E248"/>
    </row>
    <row r="249" spans="4:5">
      <c r="D249" s="23"/>
      <c r="E249"/>
    </row>
    <row r="250" spans="4:5">
      <c r="D250" s="23"/>
      <c r="E250"/>
    </row>
    <row r="251" spans="4:5">
      <c r="D251" s="23"/>
      <c r="E251"/>
    </row>
    <row r="252" spans="4:5">
      <c r="D252" s="23"/>
      <c r="E252"/>
    </row>
    <row r="253" spans="4:5">
      <c r="D253" s="23"/>
      <c r="E253"/>
    </row>
    <row r="254" spans="4:5">
      <c r="D254" s="23"/>
      <c r="E254"/>
    </row>
    <row r="255" spans="4:5">
      <c r="D255" s="23"/>
      <c r="E255"/>
    </row>
    <row r="256" spans="4:5">
      <c r="D256" s="23"/>
      <c r="E256"/>
    </row>
    <row r="257" spans="4:5">
      <c r="D257" s="23"/>
      <c r="E257"/>
    </row>
    <row r="258" spans="4:5">
      <c r="D258" s="23"/>
      <c r="E258"/>
    </row>
    <row r="259" spans="4:5">
      <c r="D259" s="23"/>
      <c r="E259"/>
    </row>
    <row r="260" spans="4:5">
      <c r="D260" s="23"/>
      <c r="E260"/>
    </row>
    <row r="261" spans="4:5">
      <c r="D261" s="23"/>
      <c r="E261"/>
    </row>
    <row r="262" spans="4:5">
      <c r="D262" s="23"/>
      <c r="E262"/>
    </row>
    <row r="263" spans="4:5">
      <c r="D263" s="23"/>
      <c r="E263"/>
    </row>
    <row r="264" spans="4:5">
      <c r="D264" s="23"/>
      <c r="E264"/>
    </row>
    <row r="265" spans="4:5">
      <c r="D265" s="23"/>
      <c r="E265"/>
    </row>
    <row r="266" spans="4:5">
      <c r="D266" s="23"/>
      <c r="E266"/>
    </row>
    <row r="267" spans="4:5">
      <c r="D267" s="23"/>
      <c r="E267"/>
    </row>
    <row r="268" spans="4:5">
      <c r="D268" s="23"/>
      <c r="E268"/>
    </row>
    <row r="269" spans="4:5">
      <c r="D269" s="23"/>
      <c r="E269"/>
    </row>
    <row r="270" spans="4:5">
      <c r="D270" s="23"/>
      <c r="E270"/>
    </row>
    <row r="271" spans="4:5">
      <c r="D271" s="23"/>
      <c r="E271"/>
    </row>
    <row r="272" spans="4:5">
      <c r="D272" s="23"/>
      <c r="E272"/>
    </row>
    <row r="273" spans="4:5">
      <c r="D273" s="23"/>
      <c r="E273"/>
    </row>
    <row r="274" spans="4:5">
      <c r="D274" s="23"/>
      <c r="E274"/>
    </row>
    <row r="275" spans="4:5">
      <c r="D275" s="23"/>
      <c r="E275"/>
    </row>
    <row r="276" spans="4:5">
      <c r="D276" s="23"/>
      <c r="E276"/>
    </row>
    <row r="277" spans="4:5">
      <c r="D277" s="23"/>
    </row>
    <row r="278" spans="4:5">
      <c r="D278" s="23"/>
    </row>
  </sheetData>
  <autoFilter ref="A1:G117" xr:uid="{BE48E2F2-415D-458C-9970-FA6926543D87}"/>
  <phoneticPr fontId="18" type="noConversion"/>
  <conditionalFormatting sqref="B40">
    <cfRule type="cellIs" dxfId="7" priority="2" operator="equal">
      <formula>1800</formula>
    </cfRule>
    <cfRule type="containsText" dxfId="6" priority="8" operator="containsText" text="1800">
      <formula>NOT(ISERROR(SEARCH("1800",B40)))</formula>
    </cfRule>
    <cfRule type="containsText" dxfId="5" priority="10" operator="containsText" text=" 1620 -  1980">
      <formula>NOT(ISERROR(SEARCH(" 1620 -  1980",B40)))</formula>
    </cfRule>
  </conditionalFormatting>
  <conditionalFormatting sqref="C40">
    <cfRule type="cellIs" dxfId="4" priority="1" operator="equal">
      <formula>2700</formula>
    </cfRule>
    <cfRule type="containsText" dxfId="3" priority="7" operator="containsText" text="2700">
      <formula>NOT(ISERROR(SEARCH("2700",C40)))</formula>
    </cfRule>
    <cfRule type="containsText" dxfId="2" priority="9" operator="containsText" text=" 2200 -  3200">
      <formula>NOT(ISERROR(SEARCH(" 2200 -  3200",C40)))</formula>
    </cfRule>
  </conditionalFormatting>
  <conditionalFormatting sqref="E1:E117 E277:E1048576">
    <cfRule type="cellIs" dxfId="1" priority="3" operator="lessThan">
      <formula>1</formula>
    </cfRule>
    <cfRule type="containsBlanks" priority="5">
      <formula>LEN(TRIM(E1))=0</formula>
    </cfRule>
    <cfRule type="containsText" dxfId="0" priority="6" operator="containsText" text="BLANKS">
      <formula>NOT(ISERROR(SEARCH("BLANKS",E1)))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797D-91FD-4AAA-B686-106D7D55CE66}">
  <dimension ref="A3:D4"/>
  <sheetViews>
    <sheetView workbookViewId="0">
      <selection activeCell="F5" sqref="F5"/>
    </sheetView>
  </sheetViews>
  <sheetFormatPr defaultRowHeight="13.8"/>
  <cols>
    <col min="1" max="1" width="31.296875" bestFit="1" customWidth="1"/>
    <col min="2" max="2" width="26.8984375" bestFit="1" customWidth="1"/>
    <col min="3" max="3" width="24.3984375" bestFit="1" customWidth="1"/>
    <col min="4" max="4" width="29.296875" bestFit="1" customWidth="1"/>
  </cols>
  <sheetData>
    <row r="3" spans="1:4">
      <c r="A3" t="s">
        <v>346</v>
      </c>
      <c r="B3" t="s">
        <v>347</v>
      </c>
      <c r="C3" t="s">
        <v>348</v>
      </c>
      <c r="D3" t="s">
        <v>349</v>
      </c>
    </row>
    <row r="4" spans="1:4">
      <c r="A4" s="8">
        <v>1174.3565217391304</v>
      </c>
      <c r="B4" s="8">
        <v>1797.0695652173913</v>
      </c>
      <c r="C4" s="8">
        <v>102.6</v>
      </c>
      <c r="D4" s="8">
        <v>3.8894736842105258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B00C-9839-492B-8B9B-52FF9FE30287}">
  <dimension ref="A3:E114"/>
  <sheetViews>
    <sheetView workbookViewId="0">
      <selection activeCell="A112" sqref="A112:B112"/>
      <pivotSelection pane="bottomRight" showHeader="1" extendable="1" axis="axisRow" start="108" max="111" activeRow="111" previousRow="111" click="1" r:id="rId1">
        <pivotArea dataOnly="0" axis="axisRow" fieldPosition="0">
          <references count="1">
            <reference field="0" count="1">
              <x v="20"/>
            </reference>
          </references>
        </pivotArea>
      </pivotSelection>
    </sheetView>
  </sheetViews>
  <sheetFormatPr defaultRowHeight="13.8"/>
  <cols>
    <col min="1" max="1" width="95" bestFit="1" customWidth="1"/>
    <col min="2" max="2" width="28" bestFit="1" customWidth="1"/>
  </cols>
  <sheetData>
    <row r="3" spans="1:5">
      <c r="A3" s="9" t="s">
        <v>350</v>
      </c>
      <c r="B3" t="s">
        <v>344</v>
      </c>
    </row>
    <row r="4" spans="1:5">
      <c r="A4" s="13" t="s">
        <v>212</v>
      </c>
      <c r="B4" s="14">
        <v>3750</v>
      </c>
      <c r="D4" s="11"/>
      <c r="E4" s="12"/>
    </row>
    <row r="5" spans="1:5">
      <c r="A5" s="10" t="s">
        <v>337</v>
      </c>
      <c r="B5" s="8">
        <v>3640</v>
      </c>
      <c r="D5" s="11"/>
      <c r="E5" s="12"/>
    </row>
    <row r="6" spans="1:5">
      <c r="A6" s="10" t="s">
        <v>287</v>
      </c>
      <c r="B6" s="8">
        <v>3546</v>
      </c>
      <c r="D6" s="11"/>
      <c r="E6" s="11"/>
    </row>
    <row r="7" spans="1:5">
      <c r="A7" s="10" t="s">
        <v>66</v>
      </c>
      <c r="B7" s="8">
        <v>2999</v>
      </c>
    </row>
    <row r="8" spans="1:5">
      <c r="A8" s="10" t="s">
        <v>327</v>
      </c>
      <c r="B8" s="8">
        <v>2999</v>
      </c>
    </row>
    <row r="9" spans="1:5">
      <c r="A9" s="10" t="s">
        <v>92</v>
      </c>
      <c r="B9" s="8">
        <v>2880</v>
      </c>
    </row>
    <row r="10" spans="1:5">
      <c r="A10" s="10" t="s">
        <v>177</v>
      </c>
      <c r="B10" s="8">
        <v>2799</v>
      </c>
    </row>
    <row r="11" spans="1:5">
      <c r="A11" s="10" t="s">
        <v>128</v>
      </c>
      <c r="B11" s="8">
        <v>2750</v>
      </c>
    </row>
    <row r="12" spans="1:5">
      <c r="A12" s="10" t="s">
        <v>30</v>
      </c>
      <c r="B12" s="8">
        <v>2319</v>
      </c>
    </row>
    <row r="13" spans="1:5">
      <c r="A13" s="10" t="s">
        <v>218</v>
      </c>
      <c r="B13" s="8">
        <v>2300</v>
      </c>
    </row>
    <row r="14" spans="1:5">
      <c r="A14" s="10" t="s">
        <v>324</v>
      </c>
      <c r="B14" s="8">
        <v>2200</v>
      </c>
    </row>
    <row r="15" spans="1:5">
      <c r="A15" s="10" t="s">
        <v>14</v>
      </c>
      <c r="B15" s="8">
        <v>2199</v>
      </c>
    </row>
    <row r="16" spans="1:5">
      <c r="A16" s="10" t="s">
        <v>182</v>
      </c>
      <c r="B16" s="8">
        <v>2170</v>
      </c>
    </row>
    <row r="17" spans="1:2">
      <c r="A17" s="10" t="s">
        <v>140</v>
      </c>
      <c r="B17" s="8">
        <v>2132</v>
      </c>
    </row>
    <row r="18" spans="1:2">
      <c r="A18" s="10" t="s">
        <v>190</v>
      </c>
      <c r="B18" s="8">
        <v>2115</v>
      </c>
    </row>
    <row r="19" spans="1:2">
      <c r="A19" s="10" t="s">
        <v>85</v>
      </c>
      <c r="B19" s="8">
        <v>2048</v>
      </c>
    </row>
    <row r="20" spans="1:2">
      <c r="A20" s="10" t="s">
        <v>63</v>
      </c>
      <c r="B20" s="8">
        <v>2025</v>
      </c>
    </row>
    <row r="21" spans="1:2">
      <c r="A21" s="10" t="s">
        <v>114</v>
      </c>
      <c r="B21" s="8">
        <v>1980</v>
      </c>
    </row>
    <row r="22" spans="1:2">
      <c r="A22" s="10" t="s">
        <v>111</v>
      </c>
      <c r="B22" s="8">
        <v>1940</v>
      </c>
    </row>
    <row r="23" spans="1:2">
      <c r="A23" s="10" t="s">
        <v>301</v>
      </c>
      <c r="B23" s="8">
        <v>1875</v>
      </c>
    </row>
    <row r="24" spans="1:2">
      <c r="A24" s="10" t="s">
        <v>328</v>
      </c>
      <c r="B24" s="8">
        <v>1860</v>
      </c>
    </row>
    <row r="25" spans="1:2">
      <c r="A25" s="10" t="s">
        <v>333</v>
      </c>
      <c r="B25" s="8">
        <v>1830</v>
      </c>
    </row>
    <row r="26" spans="1:2">
      <c r="A26" s="10" t="s">
        <v>330</v>
      </c>
      <c r="B26" s="8">
        <v>1820</v>
      </c>
    </row>
    <row r="27" spans="1:2">
      <c r="A27" s="10" t="s">
        <v>332</v>
      </c>
      <c r="B27" s="8">
        <v>1800</v>
      </c>
    </row>
    <row r="28" spans="1:2">
      <c r="A28" s="10" t="s">
        <v>277</v>
      </c>
      <c r="B28" s="8">
        <v>1798</v>
      </c>
    </row>
    <row r="29" spans="1:2">
      <c r="A29" s="10" t="s">
        <v>314</v>
      </c>
      <c r="B29" s="8">
        <v>1768</v>
      </c>
    </row>
    <row r="30" spans="1:2">
      <c r="A30" s="10" t="s">
        <v>97</v>
      </c>
      <c r="B30" s="8">
        <v>1758</v>
      </c>
    </row>
    <row r="31" spans="1:2">
      <c r="A31" s="10" t="s">
        <v>22</v>
      </c>
      <c r="B31" s="8">
        <v>1740</v>
      </c>
    </row>
    <row r="32" spans="1:2">
      <c r="A32" s="10" t="s">
        <v>237</v>
      </c>
      <c r="B32" s="8">
        <v>1732</v>
      </c>
    </row>
    <row r="33" spans="1:2">
      <c r="A33" s="10" t="s">
        <v>53</v>
      </c>
      <c r="B33" s="8">
        <v>1680</v>
      </c>
    </row>
    <row r="34" spans="1:2">
      <c r="A34" s="10" t="s">
        <v>251</v>
      </c>
      <c r="B34" s="8">
        <v>1666</v>
      </c>
    </row>
    <row r="35" spans="1:2">
      <c r="A35" s="10" t="s">
        <v>160</v>
      </c>
      <c r="B35" s="8">
        <v>1660</v>
      </c>
    </row>
    <row r="36" spans="1:2">
      <c r="A36" s="10" t="s">
        <v>312</v>
      </c>
      <c r="B36" s="8">
        <v>1658</v>
      </c>
    </row>
    <row r="37" spans="1:2">
      <c r="A37" s="10" t="s">
        <v>81</v>
      </c>
      <c r="B37" s="8">
        <v>1650</v>
      </c>
    </row>
    <row r="38" spans="1:2">
      <c r="A38" s="10" t="s">
        <v>331</v>
      </c>
      <c r="B38" s="8">
        <v>1620</v>
      </c>
    </row>
    <row r="39" spans="1:2">
      <c r="A39" s="10" t="s">
        <v>38</v>
      </c>
      <c r="B39" s="8">
        <v>1600</v>
      </c>
    </row>
    <row r="40" spans="1:2">
      <c r="A40" s="10" t="s">
        <v>18</v>
      </c>
      <c r="B40" s="8">
        <v>1580</v>
      </c>
    </row>
    <row r="41" spans="1:2">
      <c r="A41" s="10" t="s">
        <v>335</v>
      </c>
      <c r="B41" s="8">
        <v>1570</v>
      </c>
    </row>
    <row r="42" spans="1:2">
      <c r="A42" s="10" t="s">
        <v>280</v>
      </c>
      <c r="B42" s="8">
        <v>1526</v>
      </c>
    </row>
    <row r="43" spans="1:2">
      <c r="A43" s="10" t="s">
        <v>264</v>
      </c>
      <c r="B43" s="8">
        <v>1468</v>
      </c>
    </row>
    <row r="44" spans="1:2">
      <c r="A44" s="10" t="s">
        <v>256</v>
      </c>
      <c r="B44" s="8">
        <v>1466</v>
      </c>
    </row>
    <row r="45" spans="1:2">
      <c r="A45" s="10" t="s">
        <v>282</v>
      </c>
      <c r="B45" s="8">
        <v>1462</v>
      </c>
    </row>
    <row r="46" spans="1:2">
      <c r="A46" s="10" t="s">
        <v>248</v>
      </c>
      <c r="B46" s="8">
        <v>1460</v>
      </c>
    </row>
    <row r="47" spans="1:2">
      <c r="A47" s="10" t="s">
        <v>165</v>
      </c>
      <c r="B47" s="8">
        <v>1459</v>
      </c>
    </row>
    <row r="48" spans="1:2">
      <c r="A48" s="10" t="s">
        <v>175</v>
      </c>
      <c r="B48" s="8">
        <v>1456</v>
      </c>
    </row>
    <row r="49" spans="1:2">
      <c r="A49" s="10" t="s">
        <v>338</v>
      </c>
      <c r="B49" s="8">
        <v>1420</v>
      </c>
    </row>
    <row r="50" spans="1:2">
      <c r="A50" s="10" t="s">
        <v>95</v>
      </c>
      <c r="B50" s="8">
        <v>1350</v>
      </c>
    </row>
    <row r="51" spans="1:2">
      <c r="A51" s="10" t="s">
        <v>272</v>
      </c>
      <c r="B51" s="8">
        <v>1300</v>
      </c>
    </row>
    <row r="52" spans="1:2">
      <c r="A52" s="10" t="s">
        <v>35</v>
      </c>
      <c r="B52" s="8">
        <v>1274</v>
      </c>
    </row>
    <row r="53" spans="1:2">
      <c r="A53" s="10" t="s">
        <v>202</v>
      </c>
      <c r="B53" s="8">
        <v>1220</v>
      </c>
    </row>
    <row r="54" spans="1:2">
      <c r="A54" s="10" t="s">
        <v>278</v>
      </c>
      <c r="B54" s="8">
        <v>1200</v>
      </c>
    </row>
    <row r="55" spans="1:2">
      <c r="A55" s="10" t="s">
        <v>151</v>
      </c>
      <c r="B55" s="8">
        <v>1200</v>
      </c>
    </row>
    <row r="56" spans="1:2">
      <c r="A56" s="10" t="s">
        <v>310</v>
      </c>
      <c r="B56" s="8">
        <v>1190</v>
      </c>
    </row>
    <row r="57" spans="1:2">
      <c r="A57" s="10" t="s">
        <v>145</v>
      </c>
      <c r="B57" s="8">
        <v>1190</v>
      </c>
    </row>
    <row r="58" spans="1:2">
      <c r="A58" s="10" t="s">
        <v>336</v>
      </c>
      <c r="B58" s="8">
        <v>1189</v>
      </c>
    </row>
    <row r="59" spans="1:2">
      <c r="A59" s="10" t="s">
        <v>307</v>
      </c>
      <c r="B59" s="8">
        <v>1150</v>
      </c>
    </row>
    <row r="60" spans="1:2">
      <c r="A60" s="10" t="s">
        <v>292</v>
      </c>
      <c r="B60" s="8">
        <v>1080</v>
      </c>
    </row>
    <row r="61" spans="1:2">
      <c r="A61" s="10" t="s">
        <v>209</v>
      </c>
      <c r="B61" s="8">
        <v>1000</v>
      </c>
    </row>
    <row r="62" spans="1:2">
      <c r="A62" s="10" t="s">
        <v>143</v>
      </c>
      <c r="B62" s="8">
        <v>999</v>
      </c>
    </row>
    <row r="63" spans="1:2">
      <c r="A63" s="10" t="s">
        <v>68</v>
      </c>
      <c r="B63" s="8">
        <v>998</v>
      </c>
    </row>
    <row r="64" spans="1:2">
      <c r="A64" s="10" t="s">
        <v>206</v>
      </c>
      <c r="B64" s="8">
        <v>990</v>
      </c>
    </row>
    <row r="65" spans="1:2">
      <c r="A65" s="10" t="s">
        <v>44</v>
      </c>
      <c r="B65" s="8">
        <v>990</v>
      </c>
    </row>
    <row r="66" spans="1:2">
      <c r="A66" s="10" t="s">
        <v>33</v>
      </c>
      <c r="B66" s="8">
        <v>988</v>
      </c>
    </row>
    <row r="67" spans="1:2">
      <c r="A67" s="10" t="s">
        <v>105</v>
      </c>
      <c r="B67" s="8">
        <v>980</v>
      </c>
    </row>
    <row r="68" spans="1:2">
      <c r="A68" s="10" t="s">
        <v>245</v>
      </c>
      <c r="B68" s="8">
        <v>979</v>
      </c>
    </row>
    <row r="69" spans="1:2">
      <c r="A69" s="10" t="s">
        <v>334</v>
      </c>
      <c r="B69" s="8">
        <v>968</v>
      </c>
    </row>
    <row r="70" spans="1:2">
      <c r="A70" s="10" t="s">
        <v>6</v>
      </c>
      <c r="B70" s="8">
        <v>950</v>
      </c>
    </row>
    <row r="71" spans="1:2">
      <c r="A71" s="10" t="s">
        <v>170</v>
      </c>
      <c r="B71" s="8">
        <v>898</v>
      </c>
    </row>
    <row r="72" spans="1:2">
      <c r="A72" s="10" t="s">
        <v>329</v>
      </c>
      <c r="B72" s="8">
        <v>880</v>
      </c>
    </row>
    <row r="73" spans="1:2">
      <c r="A73" s="10" t="s">
        <v>269</v>
      </c>
      <c r="B73" s="8">
        <v>850</v>
      </c>
    </row>
    <row r="74" spans="1:2">
      <c r="A74" s="10" t="s">
        <v>261</v>
      </c>
      <c r="B74" s="8">
        <v>799</v>
      </c>
    </row>
    <row r="75" spans="1:2">
      <c r="A75" s="10" t="s">
        <v>42</v>
      </c>
      <c r="B75" s="8">
        <v>799</v>
      </c>
    </row>
    <row r="76" spans="1:2">
      <c r="A76" s="10" t="s">
        <v>168</v>
      </c>
      <c r="B76" s="8">
        <v>799</v>
      </c>
    </row>
    <row r="77" spans="1:2">
      <c r="A77" s="10" t="s">
        <v>232</v>
      </c>
      <c r="B77" s="8">
        <v>790</v>
      </c>
    </row>
    <row r="78" spans="1:2">
      <c r="A78" s="10" t="s">
        <v>173</v>
      </c>
      <c r="B78" s="8">
        <v>699</v>
      </c>
    </row>
    <row r="79" spans="1:2">
      <c r="A79" s="10" t="s">
        <v>235</v>
      </c>
      <c r="B79" s="8">
        <v>690</v>
      </c>
    </row>
    <row r="80" spans="1:2">
      <c r="A80" s="10" t="s">
        <v>148</v>
      </c>
      <c r="B80" s="8">
        <v>671</v>
      </c>
    </row>
    <row r="81" spans="1:2">
      <c r="A81" s="10" t="s">
        <v>266</v>
      </c>
      <c r="B81" s="8">
        <v>630</v>
      </c>
    </row>
    <row r="82" spans="1:2">
      <c r="A82" s="10" t="s">
        <v>47</v>
      </c>
      <c r="B82" s="8">
        <v>552</v>
      </c>
    </row>
    <row r="83" spans="1:2">
      <c r="A83" s="10" t="s">
        <v>10</v>
      </c>
      <c r="B83" s="8">
        <v>527</v>
      </c>
    </row>
    <row r="84" spans="1:2">
      <c r="A84" s="10" t="s">
        <v>289</v>
      </c>
      <c r="B84" s="8">
        <v>525</v>
      </c>
    </row>
    <row r="85" spans="1:2">
      <c r="A85" s="10" t="s">
        <v>224</v>
      </c>
      <c r="B85" s="8">
        <v>509</v>
      </c>
    </row>
    <row r="86" spans="1:2">
      <c r="A86" s="10" t="s">
        <v>50</v>
      </c>
      <c r="B86" s="8">
        <v>501</v>
      </c>
    </row>
    <row r="87" spans="1:2">
      <c r="A87" s="10" t="s">
        <v>131</v>
      </c>
      <c r="B87" s="8">
        <v>475</v>
      </c>
    </row>
    <row r="88" spans="1:2">
      <c r="A88" s="10" t="s">
        <v>186</v>
      </c>
      <c r="B88" s="8">
        <v>458</v>
      </c>
    </row>
    <row r="89" spans="1:2">
      <c r="A89" s="10" t="s">
        <v>318</v>
      </c>
      <c r="B89" s="8">
        <v>450</v>
      </c>
    </row>
    <row r="90" spans="1:2">
      <c r="A90" s="10" t="s">
        <v>194</v>
      </c>
      <c r="B90" s="8">
        <v>445</v>
      </c>
    </row>
    <row r="91" spans="1:2">
      <c r="A91" s="10" t="s">
        <v>89</v>
      </c>
      <c r="B91" s="8">
        <v>420</v>
      </c>
    </row>
    <row r="92" spans="1:2">
      <c r="A92" s="10" t="s">
        <v>122</v>
      </c>
      <c r="B92" s="8">
        <v>389</v>
      </c>
    </row>
    <row r="93" spans="1:2">
      <c r="A93" s="10" t="s">
        <v>215</v>
      </c>
      <c r="B93" s="8">
        <v>382</v>
      </c>
    </row>
    <row r="94" spans="1:2">
      <c r="A94" s="10" t="s">
        <v>154</v>
      </c>
      <c r="B94" s="8">
        <v>375</v>
      </c>
    </row>
    <row r="95" spans="1:2">
      <c r="A95" s="10" t="s">
        <v>221</v>
      </c>
      <c r="B95" s="8">
        <v>345</v>
      </c>
    </row>
    <row r="96" spans="1:2">
      <c r="A96" s="10" t="s">
        <v>56</v>
      </c>
      <c r="B96" s="8">
        <v>332</v>
      </c>
    </row>
    <row r="97" spans="1:2">
      <c r="A97" s="10" t="s">
        <v>253</v>
      </c>
      <c r="B97" s="8">
        <v>330</v>
      </c>
    </row>
    <row r="98" spans="1:2">
      <c r="A98" s="10" t="s">
        <v>198</v>
      </c>
      <c r="B98" s="8">
        <v>325</v>
      </c>
    </row>
    <row r="99" spans="1:2">
      <c r="A99" s="10" t="s">
        <v>157</v>
      </c>
      <c r="B99" s="8">
        <v>299</v>
      </c>
    </row>
    <row r="100" spans="1:2">
      <c r="A100" s="10" t="s">
        <v>163</v>
      </c>
      <c r="B100" s="8">
        <v>299</v>
      </c>
    </row>
    <row r="101" spans="1:2">
      <c r="A101" s="10" t="s">
        <v>258</v>
      </c>
      <c r="B101" s="8">
        <v>274</v>
      </c>
    </row>
    <row r="102" spans="1:2">
      <c r="A102" s="10" t="s">
        <v>284</v>
      </c>
      <c r="B102" s="8">
        <v>248</v>
      </c>
    </row>
    <row r="103" spans="1:2">
      <c r="A103" s="10" t="s">
        <v>134</v>
      </c>
      <c r="B103" s="8">
        <v>238</v>
      </c>
    </row>
    <row r="104" spans="1:2">
      <c r="A104" s="10" t="s">
        <v>240</v>
      </c>
      <c r="B104" s="8">
        <v>230</v>
      </c>
    </row>
    <row r="105" spans="1:2">
      <c r="A105" s="10" t="s">
        <v>316</v>
      </c>
      <c r="B105" s="8">
        <v>199</v>
      </c>
    </row>
    <row r="106" spans="1:2">
      <c r="A106" s="10" t="s">
        <v>304</v>
      </c>
      <c r="B106" s="8">
        <v>198</v>
      </c>
    </row>
    <row r="107" spans="1:2">
      <c r="A107" s="10" t="s">
        <v>60</v>
      </c>
      <c r="B107" s="8">
        <v>195</v>
      </c>
    </row>
    <row r="108" spans="1:2">
      <c r="A108" s="10" t="s">
        <v>102</v>
      </c>
      <c r="B108" s="8">
        <v>185</v>
      </c>
    </row>
    <row r="109" spans="1:2">
      <c r="A109" s="10" t="s">
        <v>120</v>
      </c>
      <c r="B109" s="8">
        <v>171</v>
      </c>
    </row>
    <row r="110" spans="1:2">
      <c r="A110" s="10" t="s">
        <v>320</v>
      </c>
      <c r="B110" s="8">
        <v>169</v>
      </c>
    </row>
    <row r="111" spans="1:2">
      <c r="A111" s="10" t="s">
        <v>274</v>
      </c>
      <c r="B111" s="8">
        <v>105</v>
      </c>
    </row>
    <row r="112" spans="1:2">
      <c r="A112" s="13" t="s">
        <v>71</v>
      </c>
      <c r="B112" s="14">
        <v>38</v>
      </c>
    </row>
    <row r="113" spans="1:2">
      <c r="A113" s="10" t="s">
        <v>351</v>
      </c>
      <c r="B113" s="8"/>
    </row>
    <row r="114" spans="1:2">
      <c r="A114" s="10" t="s">
        <v>352</v>
      </c>
      <c r="B114" s="8">
        <v>135051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8266-E057-4FCB-AC4A-339843EDBBD0}">
  <dimension ref="A1:C5"/>
  <sheetViews>
    <sheetView workbookViewId="0">
      <selection activeCell="A3" sqref="A3"/>
    </sheetView>
  </sheetViews>
  <sheetFormatPr defaultRowHeight="13.8"/>
  <cols>
    <col min="1" max="1" width="13.3984375" bestFit="1" customWidth="1"/>
    <col min="2" max="2" width="46.296875" bestFit="1" customWidth="1"/>
    <col min="3" max="3" width="24.3984375" bestFit="1" customWidth="1"/>
  </cols>
  <sheetData>
    <row r="1" spans="1:3">
      <c r="A1" s="9" t="s">
        <v>323</v>
      </c>
      <c r="B1" t="s">
        <v>284</v>
      </c>
    </row>
    <row r="3" spans="1:3">
      <c r="A3" s="9" t="s">
        <v>350</v>
      </c>
      <c r="B3" t="s">
        <v>349</v>
      </c>
      <c r="C3" t="s">
        <v>348</v>
      </c>
    </row>
    <row r="4" spans="1:3">
      <c r="A4" s="10" t="s">
        <v>353</v>
      </c>
      <c r="B4" s="8"/>
      <c r="C4" s="8">
        <v>147</v>
      </c>
    </row>
    <row r="5" spans="1:3">
      <c r="A5" s="10" t="s">
        <v>352</v>
      </c>
      <c r="B5" s="8"/>
      <c r="C5" s="8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FCC6-EC0E-4569-B82F-CB00C6902135}">
  <dimension ref="A3:B8"/>
  <sheetViews>
    <sheetView workbookViewId="0">
      <selection activeCell="A5" sqref="A5"/>
    </sheetView>
  </sheetViews>
  <sheetFormatPr defaultRowHeight="13.8"/>
  <cols>
    <col min="1" max="1" width="13.3984375" bestFit="1" customWidth="1"/>
    <col min="2" max="2" width="18.59765625" bestFit="1" customWidth="1"/>
  </cols>
  <sheetData>
    <row r="3" spans="1:2">
      <c r="A3" s="9" t="s">
        <v>350</v>
      </c>
      <c r="B3" t="s">
        <v>358</v>
      </c>
    </row>
    <row r="4" spans="1:2">
      <c r="A4" s="10" t="s">
        <v>355</v>
      </c>
      <c r="B4" s="8">
        <v>22</v>
      </c>
    </row>
    <row r="5" spans="1:2">
      <c r="A5" s="10" t="s">
        <v>356</v>
      </c>
      <c r="B5" s="8">
        <v>23</v>
      </c>
    </row>
    <row r="6" spans="1:2">
      <c r="A6" s="10" t="s">
        <v>357</v>
      </c>
      <c r="B6" s="8">
        <v>70</v>
      </c>
    </row>
    <row r="7" spans="1:2">
      <c r="A7" s="10" t="s">
        <v>351</v>
      </c>
      <c r="B7" s="8"/>
    </row>
    <row r="8" spans="1:2">
      <c r="A8" s="10" t="s">
        <v>352</v>
      </c>
      <c r="B8" s="8">
        <v>115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1551-9B9C-449F-9E4F-33B4B3289DE4}">
  <dimension ref="A3:E114"/>
  <sheetViews>
    <sheetView workbookViewId="0">
      <selection activeCell="B5" sqref="B5"/>
    </sheetView>
  </sheetViews>
  <sheetFormatPr defaultRowHeight="13.8"/>
  <cols>
    <col min="1" max="1" width="54.8984375" customWidth="1"/>
    <col min="2" max="2" width="24.3984375" bestFit="1" customWidth="1"/>
    <col min="3" max="3" width="24.296875" bestFit="1" customWidth="1"/>
  </cols>
  <sheetData>
    <row r="3" spans="1:5">
      <c r="A3" s="9" t="s">
        <v>350</v>
      </c>
      <c r="B3" t="s">
        <v>348</v>
      </c>
      <c r="C3" t="s">
        <v>359</v>
      </c>
    </row>
    <row r="4" spans="1:5">
      <c r="A4" s="10" t="s">
        <v>332</v>
      </c>
      <c r="B4" s="8">
        <v>85</v>
      </c>
      <c r="C4" s="8">
        <v>2</v>
      </c>
    </row>
    <row r="5" spans="1:5">
      <c r="A5" s="10" t="s">
        <v>44</v>
      </c>
      <c r="B5" s="8">
        <v>58</v>
      </c>
      <c r="C5" s="8">
        <v>39</v>
      </c>
    </row>
    <row r="6" spans="1:5">
      <c r="A6" s="10" t="s">
        <v>6</v>
      </c>
      <c r="B6" s="8">
        <v>38</v>
      </c>
      <c r="C6" s="8">
        <v>2</v>
      </c>
      <c r="E6" s="8"/>
    </row>
    <row r="7" spans="1:5">
      <c r="A7" s="10" t="s">
        <v>95</v>
      </c>
      <c r="B7" s="8">
        <v>74</v>
      </c>
      <c r="C7" s="8">
        <v>13</v>
      </c>
    </row>
    <row r="8" spans="1:5">
      <c r="A8" s="10" t="s">
        <v>105</v>
      </c>
      <c r="B8" s="8">
        <v>78</v>
      </c>
      <c r="C8" s="8">
        <v>12</v>
      </c>
    </row>
    <row r="9" spans="1:5">
      <c r="A9" s="10" t="s">
        <v>194</v>
      </c>
      <c r="B9" s="8">
        <v>110</v>
      </c>
      <c r="C9" s="8">
        <v>69</v>
      </c>
    </row>
    <row r="10" spans="1:5">
      <c r="A10" s="10" t="s">
        <v>177</v>
      </c>
      <c r="B10" s="8">
        <v>105</v>
      </c>
      <c r="C10" s="8"/>
    </row>
    <row r="11" spans="1:5">
      <c r="A11" s="10" t="s">
        <v>38</v>
      </c>
      <c r="B11" s="8">
        <v>56</v>
      </c>
      <c r="C11" s="8">
        <v>5</v>
      </c>
    </row>
    <row r="12" spans="1:5">
      <c r="A12" s="10" t="s">
        <v>30</v>
      </c>
      <c r="B12" s="8">
        <v>24</v>
      </c>
      <c r="C12" s="8">
        <v>55</v>
      </c>
    </row>
    <row r="13" spans="1:5">
      <c r="A13" s="10" t="s">
        <v>304</v>
      </c>
      <c r="B13" s="8">
        <v>154</v>
      </c>
      <c r="C13" s="8"/>
    </row>
    <row r="14" spans="1:5">
      <c r="A14" s="10" t="s">
        <v>251</v>
      </c>
      <c r="B14" s="8">
        <v>129</v>
      </c>
      <c r="C14" s="8"/>
    </row>
    <row r="15" spans="1:5">
      <c r="A15" s="10" t="s">
        <v>327</v>
      </c>
      <c r="B15" s="8">
        <v>9</v>
      </c>
      <c r="C15" s="8">
        <v>15</v>
      </c>
    </row>
    <row r="16" spans="1:5">
      <c r="A16" s="10" t="s">
        <v>301</v>
      </c>
      <c r="B16" s="8">
        <v>153</v>
      </c>
      <c r="C16" s="8"/>
    </row>
    <row r="17" spans="1:3">
      <c r="A17" s="10" t="s">
        <v>278</v>
      </c>
      <c r="B17" s="8">
        <v>144</v>
      </c>
      <c r="C17" s="8"/>
    </row>
    <row r="18" spans="1:3">
      <c r="A18" s="10" t="s">
        <v>151</v>
      </c>
      <c r="B18" s="8">
        <v>95</v>
      </c>
      <c r="C18" s="8"/>
    </row>
    <row r="19" spans="1:3">
      <c r="A19" s="10" t="s">
        <v>232</v>
      </c>
      <c r="B19" s="8">
        <v>122</v>
      </c>
      <c r="C19" s="8"/>
    </row>
    <row r="20" spans="1:3">
      <c r="A20" s="10" t="s">
        <v>212</v>
      </c>
      <c r="B20" s="8">
        <v>115</v>
      </c>
      <c r="C20" s="8">
        <v>5</v>
      </c>
    </row>
    <row r="21" spans="1:3">
      <c r="A21" s="10" t="s">
        <v>209</v>
      </c>
      <c r="B21" s="8">
        <v>114</v>
      </c>
      <c r="C21" s="8">
        <v>7</v>
      </c>
    </row>
    <row r="22" spans="1:3">
      <c r="A22" s="10" t="s">
        <v>68</v>
      </c>
      <c r="B22" s="8">
        <v>66</v>
      </c>
      <c r="C22" s="8">
        <v>44</v>
      </c>
    </row>
    <row r="23" spans="1:3">
      <c r="A23" s="10" t="s">
        <v>235</v>
      </c>
      <c r="B23" s="8">
        <v>123</v>
      </c>
      <c r="C23" s="8"/>
    </row>
    <row r="24" spans="1:3">
      <c r="A24" s="10" t="s">
        <v>71</v>
      </c>
      <c r="B24" s="8">
        <v>67</v>
      </c>
      <c r="C24" s="8">
        <v>13</v>
      </c>
    </row>
    <row r="25" spans="1:3">
      <c r="A25" s="10" t="s">
        <v>284</v>
      </c>
      <c r="B25" s="8">
        <v>147</v>
      </c>
      <c r="C25" s="8"/>
    </row>
    <row r="26" spans="1:3">
      <c r="A26" s="10" t="s">
        <v>47</v>
      </c>
      <c r="B26" s="8">
        <v>59</v>
      </c>
      <c r="C26" s="8">
        <v>12</v>
      </c>
    </row>
    <row r="27" spans="1:3">
      <c r="A27" s="10" t="s">
        <v>131</v>
      </c>
      <c r="B27" s="8">
        <v>87</v>
      </c>
      <c r="C27" s="8"/>
    </row>
    <row r="28" spans="1:3">
      <c r="A28" s="10" t="s">
        <v>328</v>
      </c>
      <c r="B28" s="8">
        <v>68</v>
      </c>
      <c r="C28" s="8"/>
    </row>
    <row r="29" spans="1:3">
      <c r="A29" s="10" t="s">
        <v>182</v>
      </c>
      <c r="B29" s="8">
        <v>107</v>
      </c>
      <c r="C29" s="8">
        <v>6</v>
      </c>
    </row>
    <row r="30" spans="1:3">
      <c r="A30" s="10" t="s">
        <v>97</v>
      </c>
      <c r="B30" s="8">
        <v>75</v>
      </c>
      <c r="C30" s="8">
        <v>20</v>
      </c>
    </row>
    <row r="31" spans="1:3">
      <c r="A31" s="10" t="s">
        <v>114</v>
      </c>
      <c r="B31" s="8">
        <v>81</v>
      </c>
      <c r="C31" s="8">
        <v>32</v>
      </c>
    </row>
    <row r="32" spans="1:3">
      <c r="A32" s="10" t="s">
        <v>111</v>
      </c>
      <c r="B32" s="8">
        <v>80</v>
      </c>
      <c r="C32" s="8">
        <v>20</v>
      </c>
    </row>
    <row r="33" spans="1:3">
      <c r="A33" s="10" t="s">
        <v>248</v>
      </c>
      <c r="B33" s="8">
        <v>128</v>
      </c>
      <c r="C33" s="8"/>
    </row>
    <row r="34" spans="1:3">
      <c r="A34" s="10" t="s">
        <v>190</v>
      </c>
      <c r="B34" s="8">
        <v>109</v>
      </c>
      <c r="C34" s="8">
        <v>13</v>
      </c>
    </row>
    <row r="35" spans="1:3">
      <c r="A35" s="10" t="s">
        <v>316</v>
      </c>
      <c r="B35" s="8">
        <v>159</v>
      </c>
      <c r="C35" s="8"/>
    </row>
    <row r="36" spans="1:3">
      <c r="A36" s="10" t="s">
        <v>277</v>
      </c>
      <c r="B36" s="8">
        <v>142.5</v>
      </c>
      <c r="C36" s="8"/>
    </row>
    <row r="37" spans="1:3">
      <c r="A37" s="10" t="s">
        <v>145</v>
      </c>
      <c r="B37" s="8">
        <v>93</v>
      </c>
      <c r="C37" s="8"/>
    </row>
    <row r="38" spans="1:3">
      <c r="A38" s="10" t="s">
        <v>240</v>
      </c>
      <c r="B38" s="8">
        <v>125</v>
      </c>
      <c r="C38" s="8"/>
    </row>
    <row r="39" spans="1:3">
      <c r="A39" s="10" t="s">
        <v>334</v>
      </c>
      <c r="B39" s="8">
        <v>120</v>
      </c>
      <c r="C39" s="8">
        <v>6</v>
      </c>
    </row>
    <row r="40" spans="1:3">
      <c r="A40" s="10" t="s">
        <v>292</v>
      </c>
      <c r="B40" s="8">
        <v>150</v>
      </c>
      <c r="C40" s="8"/>
    </row>
    <row r="41" spans="1:3">
      <c r="A41" s="10" t="s">
        <v>338</v>
      </c>
      <c r="B41" s="8">
        <v>152</v>
      </c>
      <c r="C41" s="8"/>
    </row>
    <row r="42" spans="1:3">
      <c r="A42" s="10" t="s">
        <v>215</v>
      </c>
      <c r="B42" s="8">
        <v>116</v>
      </c>
      <c r="C42" s="8">
        <v>17</v>
      </c>
    </row>
    <row r="43" spans="1:3">
      <c r="A43" s="10" t="s">
        <v>175</v>
      </c>
      <c r="B43" s="8">
        <v>120</v>
      </c>
      <c r="C43" s="8"/>
    </row>
    <row r="44" spans="1:3">
      <c r="A44" s="10" t="s">
        <v>56</v>
      </c>
      <c r="B44" s="8">
        <v>62</v>
      </c>
      <c r="C44" s="8">
        <v>2</v>
      </c>
    </row>
    <row r="45" spans="1:3">
      <c r="A45" s="10" t="s">
        <v>206</v>
      </c>
      <c r="B45" s="8">
        <v>113</v>
      </c>
      <c r="C45" s="8">
        <v>6</v>
      </c>
    </row>
    <row r="46" spans="1:3">
      <c r="A46" s="10" t="s">
        <v>289</v>
      </c>
      <c r="B46" s="8">
        <v>149</v>
      </c>
      <c r="C46" s="8"/>
    </row>
    <row r="47" spans="1:3">
      <c r="A47" s="10" t="s">
        <v>333</v>
      </c>
      <c r="B47" s="8">
        <v>103.33333333333333</v>
      </c>
      <c r="C47" s="8"/>
    </row>
    <row r="48" spans="1:3">
      <c r="A48" s="10" t="s">
        <v>245</v>
      </c>
      <c r="B48" s="8">
        <v>127</v>
      </c>
      <c r="C48" s="8">
        <v>1</v>
      </c>
    </row>
    <row r="49" spans="1:3">
      <c r="A49" s="10" t="s">
        <v>320</v>
      </c>
      <c r="B49" s="8">
        <v>161</v>
      </c>
      <c r="C49" s="8"/>
    </row>
    <row r="50" spans="1:3">
      <c r="A50" s="10" t="s">
        <v>157</v>
      </c>
      <c r="B50" s="8">
        <v>97</v>
      </c>
      <c r="C50" s="8"/>
    </row>
    <row r="51" spans="1:3">
      <c r="A51" s="10" t="s">
        <v>148</v>
      </c>
      <c r="B51" s="8">
        <v>94</v>
      </c>
      <c r="C51" s="8"/>
    </row>
    <row r="52" spans="1:3">
      <c r="A52" s="10" t="s">
        <v>258</v>
      </c>
      <c r="B52" s="8">
        <v>134</v>
      </c>
      <c r="C52" s="8"/>
    </row>
    <row r="53" spans="1:3">
      <c r="A53" s="10" t="s">
        <v>310</v>
      </c>
      <c r="B53" s="8">
        <v>156</v>
      </c>
      <c r="C53" s="8"/>
    </row>
    <row r="54" spans="1:3">
      <c r="A54" s="10" t="s">
        <v>143</v>
      </c>
      <c r="B54" s="8">
        <v>92</v>
      </c>
      <c r="C54" s="8"/>
    </row>
    <row r="55" spans="1:3">
      <c r="A55" s="10" t="s">
        <v>173</v>
      </c>
      <c r="B55" s="8">
        <v>103</v>
      </c>
      <c r="C55" s="8"/>
    </row>
    <row r="56" spans="1:3">
      <c r="A56" s="10" t="s">
        <v>120</v>
      </c>
      <c r="B56" s="8">
        <v>83</v>
      </c>
      <c r="C56" s="8">
        <v>2</v>
      </c>
    </row>
    <row r="57" spans="1:3">
      <c r="A57" s="10" t="s">
        <v>154</v>
      </c>
      <c r="B57" s="8">
        <v>114</v>
      </c>
      <c r="C57" s="8"/>
    </row>
    <row r="58" spans="1:3">
      <c r="A58" s="10" t="s">
        <v>237</v>
      </c>
      <c r="B58" s="8">
        <v>124</v>
      </c>
      <c r="C58" s="8"/>
    </row>
    <row r="59" spans="1:3">
      <c r="A59" s="10" t="s">
        <v>168</v>
      </c>
      <c r="B59" s="8">
        <v>101</v>
      </c>
      <c r="C59" s="8"/>
    </row>
    <row r="60" spans="1:3">
      <c r="A60" s="10" t="s">
        <v>33</v>
      </c>
      <c r="B60" s="8">
        <v>37</v>
      </c>
      <c r="C60" s="8">
        <v>2</v>
      </c>
    </row>
    <row r="61" spans="1:3">
      <c r="A61" s="10" t="s">
        <v>331</v>
      </c>
      <c r="B61" s="8">
        <v>82</v>
      </c>
      <c r="C61" s="8">
        <v>1</v>
      </c>
    </row>
    <row r="62" spans="1:3">
      <c r="A62" s="10" t="s">
        <v>335</v>
      </c>
      <c r="B62" s="8">
        <v>121</v>
      </c>
      <c r="C62" s="8">
        <v>7</v>
      </c>
    </row>
    <row r="63" spans="1:3">
      <c r="A63" s="10" t="s">
        <v>89</v>
      </c>
      <c r="B63" s="8">
        <v>72</v>
      </c>
      <c r="C63" s="8">
        <v>49</v>
      </c>
    </row>
    <row r="64" spans="1:3">
      <c r="A64" s="10" t="s">
        <v>102</v>
      </c>
      <c r="B64" s="8">
        <v>77</v>
      </c>
      <c r="C64" s="8">
        <v>9</v>
      </c>
    </row>
    <row r="65" spans="1:3">
      <c r="A65" s="10" t="s">
        <v>81</v>
      </c>
      <c r="B65" s="8">
        <v>70</v>
      </c>
      <c r="C65" s="8">
        <v>14</v>
      </c>
    </row>
    <row r="66" spans="1:3">
      <c r="A66" s="10" t="s">
        <v>42</v>
      </c>
      <c r="B66" s="8">
        <v>57</v>
      </c>
      <c r="C66" s="8">
        <v>12</v>
      </c>
    </row>
    <row r="67" spans="1:3">
      <c r="A67" s="10" t="s">
        <v>253</v>
      </c>
      <c r="B67" s="8">
        <v>130</v>
      </c>
      <c r="C67" s="8">
        <v>1</v>
      </c>
    </row>
    <row r="68" spans="1:3">
      <c r="A68" s="10" t="s">
        <v>198</v>
      </c>
      <c r="B68" s="8">
        <v>111</v>
      </c>
      <c r="C68" s="8">
        <v>15</v>
      </c>
    </row>
    <row r="69" spans="1:3">
      <c r="A69" s="10" t="s">
        <v>337</v>
      </c>
      <c r="B69" s="8">
        <v>151</v>
      </c>
      <c r="C69" s="8">
        <v>1</v>
      </c>
    </row>
    <row r="70" spans="1:3">
      <c r="A70" s="10" t="s">
        <v>218</v>
      </c>
      <c r="B70" s="8">
        <v>117</v>
      </c>
      <c r="C70" s="8">
        <v>5</v>
      </c>
    </row>
    <row r="71" spans="1:3">
      <c r="A71" s="10" t="s">
        <v>85</v>
      </c>
      <c r="B71" s="8">
        <v>71</v>
      </c>
      <c r="C71" s="8">
        <v>7</v>
      </c>
    </row>
    <row r="72" spans="1:3">
      <c r="A72" s="10" t="s">
        <v>63</v>
      </c>
      <c r="B72" s="8">
        <v>64</v>
      </c>
      <c r="C72" s="8">
        <v>3</v>
      </c>
    </row>
    <row r="73" spans="1:3">
      <c r="A73" s="10" t="s">
        <v>50</v>
      </c>
      <c r="B73" s="8">
        <v>60</v>
      </c>
      <c r="C73" s="8">
        <v>6</v>
      </c>
    </row>
    <row r="74" spans="1:3">
      <c r="A74" s="10" t="s">
        <v>35</v>
      </c>
      <c r="B74" s="8">
        <v>55</v>
      </c>
      <c r="C74" s="8">
        <v>5</v>
      </c>
    </row>
    <row r="75" spans="1:3">
      <c r="A75" s="10" t="s">
        <v>128</v>
      </c>
      <c r="B75" s="8">
        <v>86</v>
      </c>
      <c r="C75" s="8"/>
    </row>
    <row r="76" spans="1:3">
      <c r="A76" s="10" t="s">
        <v>330</v>
      </c>
      <c r="B76" s="8">
        <v>79</v>
      </c>
      <c r="C76" s="8">
        <v>9</v>
      </c>
    </row>
    <row r="77" spans="1:3">
      <c r="A77" s="10" t="s">
        <v>329</v>
      </c>
      <c r="B77" s="8">
        <v>69</v>
      </c>
      <c r="C77" s="8">
        <v>6</v>
      </c>
    </row>
    <row r="78" spans="1:3">
      <c r="A78" s="10" t="s">
        <v>307</v>
      </c>
      <c r="B78" s="8">
        <v>155</v>
      </c>
      <c r="C78" s="8"/>
    </row>
    <row r="79" spans="1:3">
      <c r="A79" s="10" t="s">
        <v>66</v>
      </c>
      <c r="B79" s="8">
        <v>65</v>
      </c>
      <c r="C79" s="8">
        <v>5</v>
      </c>
    </row>
    <row r="80" spans="1:3">
      <c r="A80" s="10" t="s">
        <v>336</v>
      </c>
      <c r="B80" s="8">
        <v>126</v>
      </c>
      <c r="C80" s="8">
        <v>1</v>
      </c>
    </row>
    <row r="81" spans="1:3">
      <c r="A81" s="10" t="s">
        <v>10</v>
      </c>
      <c r="B81" s="8">
        <v>47</v>
      </c>
      <c r="C81" s="8">
        <v>14</v>
      </c>
    </row>
    <row r="82" spans="1:3">
      <c r="A82" s="10" t="s">
        <v>287</v>
      </c>
      <c r="B82" s="8">
        <v>148</v>
      </c>
      <c r="C82" s="8"/>
    </row>
    <row r="83" spans="1:3">
      <c r="A83" s="10" t="s">
        <v>134</v>
      </c>
      <c r="B83" s="8">
        <v>88</v>
      </c>
      <c r="C83" s="8"/>
    </row>
    <row r="84" spans="1:3">
      <c r="A84" s="10" t="s">
        <v>53</v>
      </c>
      <c r="B84" s="8">
        <v>61</v>
      </c>
      <c r="C84" s="8">
        <v>9</v>
      </c>
    </row>
    <row r="85" spans="1:3">
      <c r="A85" s="10" t="s">
        <v>266</v>
      </c>
      <c r="B85" s="8">
        <v>138</v>
      </c>
      <c r="C85" s="8"/>
    </row>
    <row r="86" spans="1:3">
      <c r="A86" s="10" t="s">
        <v>324</v>
      </c>
      <c r="B86" s="8">
        <v>76</v>
      </c>
      <c r="C86" s="8"/>
    </row>
    <row r="87" spans="1:3">
      <c r="A87" s="10" t="s">
        <v>165</v>
      </c>
      <c r="B87" s="8">
        <v>100</v>
      </c>
      <c r="C87" s="8"/>
    </row>
    <row r="88" spans="1:3">
      <c r="A88" s="10" t="s">
        <v>186</v>
      </c>
      <c r="B88" s="8">
        <v>108</v>
      </c>
      <c r="C88" s="8">
        <v>10</v>
      </c>
    </row>
    <row r="89" spans="1:3">
      <c r="A89" s="10" t="s">
        <v>256</v>
      </c>
      <c r="B89" s="8">
        <v>133</v>
      </c>
      <c r="C89" s="8"/>
    </row>
    <row r="90" spans="1:3">
      <c r="A90" s="10" t="s">
        <v>261</v>
      </c>
      <c r="B90" s="8">
        <v>135</v>
      </c>
      <c r="C90" s="8"/>
    </row>
    <row r="91" spans="1:3">
      <c r="A91" s="10" t="s">
        <v>60</v>
      </c>
      <c r="B91" s="8">
        <v>63</v>
      </c>
      <c r="C91" s="8">
        <v>2</v>
      </c>
    </row>
    <row r="92" spans="1:3">
      <c r="A92" s="10" t="s">
        <v>160</v>
      </c>
      <c r="B92" s="8">
        <v>98</v>
      </c>
      <c r="C92" s="8"/>
    </row>
    <row r="93" spans="1:3">
      <c r="A93" s="10" t="s">
        <v>163</v>
      </c>
      <c r="B93" s="8">
        <v>99</v>
      </c>
      <c r="C93" s="8"/>
    </row>
    <row r="94" spans="1:3">
      <c r="A94" s="10" t="s">
        <v>22</v>
      </c>
      <c r="B94" s="8">
        <v>26</v>
      </c>
      <c r="C94" s="8">
        <v>5</v>
      </c>
    </row>
    <row r="95" spans="1:3">
      <c r="A95" s="10" t="s">
        <v>14</v>
      </c>
      <c r="B95" s="8">
        <v>25</v>
      </c>
      <c r="C95" s="8">
        <v>24</v>
      </c>
    </row>
    <row r="96" spans="1:3">
      <c r="A96" s="10" t="s">
        <v>282</v>
      </c>
      <c r="B96" s="8">
        <v>146</v>
      </c>
      <c r="C96" s="8"/>
    </row>
    <row r="97" spans="1:3">
      <c r="A97" s="10" t="s">
        <v>92</v>
      </c>
      <c r="B97" s="8">
        <v>73</v>
      </c>
      <c r="C97" s="8">
        <v>12</v>
      </c>
    </row>
    <row r="98" spans="1:3">
      <c r="A98" s="10" t="s">
        <v>272</v>
      </c>
      <c r="B98" s="8">
        <v>140</v>
      </c>
      <c r="C98" s="8"/>
    </row>
    <row r="99" spans="1:3">
      <c r="A99" s="10" t="s">
        <v>122</v>
      </c>
      <c r="B99" s="8">
        <v>84</v>
      </c>
      <c r="C99" s="8">
        <v>36</v>
      </c>
    </row>
    <row r="100" spans="1:3">
      <c r="A100" s="10" t="s">
        <v>274</v>
      </c>
      <c r="B100" s="8">
        <v>141</v>
      </c>
      <c r="C100" s="8"/>
    </row>
    <row r="101" spans="1:3">
      <c r="A101" s="10" t="s">
        <v>140</v>
      </c>
      <c r="B101" s="8">
        <v>91</v>
      </c>
      <c r="C101" s="8"/>
    </row>
    <row r="102" spans="1:3">
      <c r="A102" s="10" t="s">
        <v>312</v>
      </c>
      <c r="B102" s="8">
        <v>157</v>
      </c>
      <c r="C102" s="8"/>
    </row>
    <row r="103" spans="1:3">
      <c r="A103" s="10" t="s">
        <v>170</v>
      </c>
      <c r="B103" s="8">
        <v>104</v>
      </c>
      <c r="C103" s="8"/>
    </row>
    <row r="104" spans="1:3">
      <c r="A104" s="10" t="s">
        <v>314</v>
      </c>
      <c r="B104" s="8">
        <v>158</v>
      </c>
      <c r="C104" s="8"/>
    </row>
    <row r="105" spans="1:3">
      <c r="A105" s="10" t="s">
        <v>202</v>
      </c>
      <c r="B105" s="8">
        <v>112</v>
      </c>
      <c r="C105" s="8">
        <v>16</v>
      </c>
    </row>
    <row r="106" spans="1:3">
      <c r="A106" s="10" t="s">
        <v>269</v>
      </c>
      <c r="B106" s="8">
        <v>139</v>
      </c>
      <c r="C106" s="8"/>
    </row>
    <row r="107" spans="1:3">
      <c r="A107" s="10" t="s">
        <v>280</v>
      </c>
      <c r="B107" s="8">
        <v>145</v>
      </c>
      <c r="C107" s="8"/>
    </row>
    <row r="108" spans="1:3">
      <c r="A108" s="10" t="s">
        <v>318</v>
      </c>
      <c r="B108" s="8">
        <v>160</v>
      </c>
      <c r="C108" s="8">
        <v>1</v>
      </c>
    </row>
    <row r="109" spans="1:3">
      <c r="A109" s="10" t="s">
        <v>264</v>
      </c>
      <c r="B109" s="8">
        <v>137</v>
      </c>
      <c r="C109" s="8"/>
    </row>
    <row r="110" spans="1:3">
      <c r="A110" s="10" t="s">
        <v>221</v>
      </c>
      <c r="B110" s="8">
        <v>118</v>
      </c>
      <c r="C110" s="8">
        <v>6</v>
      </c>
    </row>
    <row r="111" spans="1:3">
      <c r="A111" s="10" t="s">
        <v>18</v>
      </c>
      <c r="B111" s="8">
        <v>37</v>
      </c>
      <c r="C111" s="8">
        <v>7</v>
      </c>
    </row>
    <row r="112" spans="1:3">
      <c r="A112" s="10" t="s">
        <v>224</v>
      </c>
      <c r="B112" s="8">
        <v>119</v>
      </c>
      <c r="C112" s="8">
        <v>5</v>
      </c>
    </row>
    <row r="113" spans="1:3">
      <c r="A113" s="10" t="s">
        <v>351</v>
      </c>
      <c r="B113" s="8"/>
      <c r="C113" s="8"/>
    </row>
    <row r="114" spans="1:3">
      <c r="A114" s="10" t="s">
        <v>352</v>
      </c>
      <c r="B114" s="8">
        <v>102.6</v>
      </c>
      <c r="C114" s="8">
        <v>723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A1A5-FAC0-4A86-ABA7-D17BB2719077}">
  <dimension ref="A3:C114"/>
  <sheetViews>
    <sheetView workbookViewId="0">
      <selection activeCell="E19" sqref="E19"/>
    </sheetView>
  </sheetViews>
  <sheetFormatPr defaultRowHeight="13.8"/>
  <cols>
    <col min="1" max="1" width="71.59765625" customWidth="1"/>
    <col min="2" max="2" width="29.296875" bestFit="1" customWidth="1"/>
    <col min="3" max="3" width="27.59765625" bestFit="1" customWidth="1"/>
  </cols>
  <sheetData>
    <row r="3" spans="1:3">
      <c r="A3" s="9" t="s">
        <v>350</v>
      </c>
      <c r="B3" t="s">
        <v>349</v>
      </c>
      <c r="C3" t="s">
        <v>360</v>
      </c>
    </row>
    <row r="4" spans="1:3">
      <c r="A4" s="10" t="s">
        <v>332</v>
      </c>
      <c r="B4" s="8">
        <v>4.5</v>
      </c>
      <c r="C4" s="8">
        <v>2</v>
      </c>
    </row>
    <row r="5" spans="1:3">
      <c r="A5" s="10" t="s">
        <v>44</v>
      </c>
      <c r="B5" s="8">
        <v>4.7</v>
      </c>
      <c r="C5" s="8">
        <v>39</v>
      </c>
    </row>
    <row r="6" spans="1:3">
      <c r="A6" s="10" t="s">
        <v>6</v>
      </c>
      <c r="B6" s="8">
        <v>4.5</v>
      </c>
      <c r="C6" s="8">
        <v>2</v>
      </c>
    </row>
    <row r="7" spans="1:3">
      <c r="A7" s="10" t="s">
        <v>95</v>
      </c>
      <c r="B7" s="8">
        <v>3.8</v>
      </c>
      <c r="C7" s="8">
        <v>13</v>
      </c>
    </row>
    <row r="8" spans="1:3">
      <c r="A8" s="10" t="s">
        <v>105</v>
      </c>
      <c r="B8" s="8">
        <v>4.7</v>
      </c>
      <c r="C8" s="8">
        <v>12</v>
      </c>
    </row>
    <row r="9" spans="1:3">
      <c r="A9" s="10" t="s">
        <v>194</v>
      </c>
      <c r="B9" s="8">
        <v>2.8</v>
      </c>
      <c r="C9" s="8">
        <v>69</v>
      </c>
    </row>
    <row r="10" spans="1:3">
      <c r="A10" s="10" t="s">
        <v>177</v>
      </c>
      <c r="B10" s="8"/>
      <c r="C10" s="8"/>
    </row>
    <row r="11" spans="1:3">
      <c r="A11" s="10" t="s">
        <v>38</v>
      </c>
      <c r="B11" s="8">
        <v>3.8</v>
      </c>
      <c r="C11" s="8">
        <v>5</v>
      </c>
    </row>
    <row r="12" spans="1:3">
      <c r="A12" s="10" t="s">
        <v>30</v>
      </c>
      <c r="B12" s="8">
        <v>4.5999999999999996</v>
      </c>
      <c r="C12" s="8">
        <v>55</v>
      </c>
    </row>
    <row r="13" spans="1:3">
      <c r="A13" s="10" t="s">
        <v>304</v>
      </c>
      <c r="B13" s="8"/>
      <c r="C13" s="8"/>
    </row>
    <row r="14" spans="1:3">
      <c r="A14" s="10" t="s">
        <v>251</v>
      </c>
      <c r="B14" s="8"/>
      <c r="C14" s="8"/>
    </row>
    <row r="15" spans="1:3">
      <c r="A15" s="10" t="s">
        <v>327</v>
      </c>
      <c r="B15" s="8">
        <v>4</v>
      </c>
      <c r="C15" s="8">
        <v>15</v>
      </c>
    </row>
    <row r="16" spans="1:3">
      <c r="A16" s="10" t="s">
        <v>301</v>
      </c>
      <c r="B16" s="8"/>
      <c r="C16" s="8"/>
    </row>
    <row r="17" spans="1:3">
      <c r="A17" s="10" t="s">
        <v>278</v>
      </c>
      <c r="B17" s="8"/>
      <c r="C17" s="8"/>
    </row>
    <row r="18" spans="1:3">
      <c r="A18" s="10" t="s">
        <v>151</v>
      </c>
      <c r="B18" s="8"/>
      <c r="C18" s="8"/>
    </row>
    <row r="19" spans="1:3">
      <c r="A19" s="10" t="s">
        <v>232</v>
      </c>
      <c r="B19" s="8"/>
      <c r="C19" s="8"/>
    </row>
    <row r="20" spans="1:3">
      <c r="A20" s="10" t="s">
        <v>212</v>
      </c>
      <c r="B20" s="8">
        <v>3</v>
      </c>
      <c r="C20" s="8">
        <v>5</v>
      </c>
    </row>
    <row r="21" spans="1:3">
      <c r="A21" s="10" t="s">
        <v>209</v>
      </c>
      <c r="B21" s="8">
        <v>2.2999999999999998</v>
      </c>
      <c r="C21" s="8">
        <v>7</v>
      </c>
    </row>
    <row r="22" spans="1:3">
      <c r="A22" s="10" t="s">
        <v>68</v>
      </c>
      <c r="B22" s="8">
        <v>4.5999999999999996</v>
      </c>
      <c r="C22" s="8">
        <v>44</v>
      </c>
    </row>
    <row r="23" spans="1:3">
      <c r="A23" s="10" t="s">
        <v>235</v>
      </c>
      <c r="B23" s="8"/>
      <c r="C23" s="8"/>
    </row>
    <row r="24" spans="1:3">
      <c r="A24" s="10" t="s">
        <v>71</v>
      </c>
      <c r="B24" s="8">
        <v>3.3</v>
      </c>
      <c r="C24" s="8">
        <v>13</v>
      </c>
    </row>
    <row r="25" spans="1:3">
      <c r="A25" s="10" t="s">
        <v>284</v>
      </c>
      <c r="B25" s="8"/>
      <c r="C25" s="8"/>
    </row>
    <row r="26" spans="1:3">
      <c r="A26" s="10" t="s">
        <v>47</v>
      </c>
      <c r="B26" s="8">
        <v>4.8</v>
      </c>
      <c r="C26" s="8">
        <v>12</v>
      </c>
    </row>
    <row r="27" spans="1:3">
      <c r="A27" s="10" t="s">
        <v>131</v>
      </c>
      <c r="B27" s="8"/>
      <c r="C27" s="8"/>
    </row>
    <row r="28" spans="1:3">
      <c r="A28" s="10" t="s">
        <v>328</v>
      </c>
      <c r="B28" s="8"/>
      <c r="C28" s="8"/>
    </row>
    <row r="29" spans="1:3">
      <c r="A29" s="10" t="s">
        <v>182</v>
      </c>
      <c r="B29" s="8">
        <v>2.5</v>
      </c>
      <c r="C29" s="8">
        <v>6</v>
      </c>
    </row>
    <row r="30" spans="1:3">
      <c r="A30" s="10" t="s">
        <v>97</v>
      </c>
      <c r="B30" s="8">
        <v>4.0999999999999996</v>
      </c>
      <c r="C30" s="8">
        <v>20</v>
      </c>
    </row>
    <row r="31" spans="1:3">
      <c r="A31" s="10" t="s">
        <v>114</v>
      </c>
      <c r="B31" s="8">
        <v>4.5</v>
      </c>
      <c r="C31" s="8">
        <v>32</v>
      </c>
    </row>
    <row r="32" spans="1:3">
      <c r="A32" s="10" t="s">
        <v>111</v>
      </c>
      <c r="B32" s="8">
        <v>4.7</v>
      </c>
      <c r="C32" s="8">
        <v>20</v>
      </c>
    </row>
    <row r="33" spans="1:3">
      <c r="A33" s="10" t="s">
        <v>248</v>
      </c>
      <c r="B33" s="8"/>
      <c r="C33" s="8"/>
    </row>
    <row r="34" spans="1:3">
      <c r="A34" s="10" t="s">
        <v>190</v>
      </c>
      <c r="B34" s="8">
        <v>2.1</v>
      </c>
      <c r="C34" s="8">
        <v>13</v>
      </c>
    </row>
    <row r="35" spans="1:3">
      <c r="A35" s="10" t="s">
        <v>316</v>
      </c>
      <c r="B35" s="8"/>
      <c r="C35" s="8"/>
    </row>
    <row r="36" spans="1:3">
      <c r="A36" s="10" t="s">
        <v>277</v>
      </c>
      <c r="B36" s="8"/>
      <c r="C36" s="8"/>
    </row>
    <row r="37" spans="1:3">
      <c r="A37" s="10" t="s">
        <v>145</v>
      </c>
      <c r="B37" s="8"/>
      <c r="C37" s="8"/>
    </row>
    <row r="38" spans="1:3">
      <c r="A38" s="10" t="s">
        <v>240</v>
      </c>
      <c r="B38" s="8"/>
      <c r="C38" s="8"/>
    </row>
    <row r="39" spans="1:3">
      <c r="A39" s="10" t="s">
        <v>334</v>
      </c>
      <c r="B39" s="8">
        <v>2.2000000000000002</v>
      </c>
      <c r="C39" s="8">
        <v>6</v>
      </c>
    </row>
    <row r="40" spans="1:3">
      <c r="A40" s="10" t="s">
        <v>292</v>
      </c>
      <c r="B40" s="8"/>
      <c r="C40" s="8"/>
    </row>
    <row r="41" spans="1:3">
      <c r="A41" s="10" t="s">
        <v>338</v>
      </c>
      <c r="B41" s="8"/>
      <c r="C41" s="8"/>
    </row>
    <row r="42" spans="1:3">
      <c r="A42" s="10" t="s">
        <v>215</v>
      </c>
      <c r="B42" s="8">
        <v>2.6</v>
      </c>
      <c r="C42" s="8">
        <v>17</v>
      </c>
    </row>
    <row r="43" spans="1:3">
      <c r="A43" s="10" t="s">
        <v>175</v>
      </c>
      <c r="B43" s="8"/>
      <c r="C43" s="8"/>
    </row>
    <row r="44" spans="1:3">
      <c r="A44" s="10" t="s">
        <v>56</v>
      </c>
      <c r="B44" s="8">
        <v>5</v>
      </c>
      <c r="C44" s="8">
        <v>2</v>
      </c>
    </row>
    <row r="45" spans="1:3">
      <c r="A45" s="10" t="s">
        <v>206</v>
      </c>
      <c r="B45" s="8">
        <v>2.2000000000000002</v>
      </c>
      <c r="C45" s="8">
        <v>6</v>
      </c>
    </row>
    <row r="46" spans="1:3">
      <c r="A46" s="10" t="s">
        <v>289</v>
      </c>
      <c r="B46" s="8"/>
      <c r="C46" s="8"/>
    </row>
    <row r="47" spans="1:3">
      <c r="A47" s="10" t="s">
        <v>333</v>
      </c>
      <c r="B47" s="8"/>
      <c r="C47" s="8"/>
    </row>
    <row r="48" spans="1:3">
      <c r="A48" s="10" t="s">
        <v>245</v>
      </c>
      <c r="B48" s="8">
        <v>5</v>
      </c>
      <c r="C48" s="8">
        <v>1</v>
      </c>
    </row>
    <row r="49" spans="1:3">
      <c r="A49" s="10" t="s">
        <v>320</v>
      </c>
      <c r="B49" s="8"/>
      <c r="C49" s="8"/>
    </row>
    <row r="50" spans="1:3">
      <c r="A50" s="10" t="s">
        <v>157</v>
      </c>
      <c r="B50" s="8"/>
      <c r="C50" s="8"/>
    </row>
    <row r="51" spans="1:3">
      <c r="A51" s="10" t="s">
        <v>148</v>
      </c>
      <c r="B51" s="8"/>
      <c r="C51" s="8"/>
    </row>
    <row r="52" spans="1:3">
      <c r="A52" s="10" t="s">
        <v>258</v>
      </c>
      <c r="B52" s="8"/>
      <c r="C52" s="8"/>
    </row>
    <row r="53" spans="1:3">
      <c r="A53" s="10" t="s">
        <v>310</v>
      </c>
      <c r="B53" s="8"/>
      <c r="C53" s="8"/>
    </row>
    <row r="54" spans="1:3">
      <c r="A54" s="10" t="s">
        <v>143</v>
      </c>
      <c r="B54" s="8"/>
      <c r="C54" s="8"/>
    </row>
    <row r="55" spans="1:3">
      <c r="A55" s="10" t="s">
        <v>173</v>
      </c>
      <c r="B55" s="8"/>
      <c r="C55" s="8"/>
    </row>
    <row r="56" spans="1:3">
      <c r="A56" s="10" t="s">
        <v>120</v>
      </c>
      <c r="B56" s="8">
        <v>5</v>
      </c>
      <c r="C56" s="8">
        <v>2</v>
      </c>
    </row>
    <row r="57" spans="1:3">
      <c r="A57" s="10" t="s">
        <v>154</v>
      </c>
      <c r="B57" s="8"/>
      <c r="C57" s="8"/>
    </row>
    <row r="58" spans="1:3">
      <c r="A58" s="10" t="s">
        <v>237</v>
      </c>
      <c r="B58" s="8"/>
      <c r="C58" s="8"/>
    </row>
    <row r="59" spans="1:3">
      <c r="A59" s="10" t="s">
        <v>168</v>
      </c>
      <c r="B59" s="8"/>
      <c r="C59" s="8"/>
    </row>
    <row r="60" spans="1:3">
      <c r="A60" s="10" t="s">
        <v>33</v>
      </c>
      <c r="B60" s="8">
        <v>4</v>
      </c>
      <c r="C60" s="8">
        <v>2</v>
      </c>
    </row>
    <row r="61" spans="1:3">
      <c r="A61" s="10" t="s">
        <v>331</v>
      </c>
      <c r="B61" s="8">
        <v>5</v>
      </c>
      <c r="C61" s="8">
        <v>1</v>
      </c>
    </row>
    <row r="62" spans="1:3">
      <c r="A62" s="10" t="s">
        <v>335</v>
      </c>
      <c r="B62" s="8">
        <v>2.1</v>
      </c>
      <c r="C62" s="8">
        <v>7</v>
      </c>
    </row>
    <row r="63" spans="1:3">
      <c r="A63" s="10" t="s">
        <v>89</v>
      </c>
      <c r="B63" s="8">
        <v>4.5999999999999996</v>
      </c>
      <c r="C63" s="8">
        <v>49</v>
      </c>
    </row>
    <row r="64" spans="1:3">
      <c r="A64" s="10" t="s">
        <v>102</v>
      </c>
      <c r="B64" s="8">
        <v>4.3</v>
      </c>
      <c r="C64" s="8">
        <v>9</v>
      </c>
    </row>
    <row r="65" spans="1:3">
      <c r="A65" s="10" t="s">
        <v>81</v>
      </c>
      <c r="B65" s="8">
        <v>4.4000000000000004</v>
      </c>
      <c r="C65" s="8">
        <v>14</v>
      </c>
    </row>
    <row r="66" spans="1:3">
      <c r="A66" s="10" t="s">
        <v>42</v>
      </c>
      <c r="B66" s="8">
        <v>4.0999999999999996</v>
      </c>
      <c r="C66" s="8">
        <v>12</v>
      </c>
    </row>
    <row r="67" spans="1:3">
      <c r="A67" s="10" t="s">
        <v>253</v>
      </c>
      <c r="B67" s="8">
        <v>4</v>
      </c>
      <c r="C67" s="8">
        <v>1</v>
      </c>
    </row>
    <row r="68" spans="1:3">
      <c r="A68" s="10" t="s">
        <v>198</v>
      </c>
      <c r="B68" s="8">
        <v>2.7</v>
      </c>
      <c r="C68" s="8">
        <v>15</v>
      </c>
    </row>
    <row r="69" spans="1:3">
      <c r="A69" s="10" t="s">
        <v>337</v>
      </c>
      <c r="B69" s="8">
        <v>5</v>
      </c>
      <c r="C69" s="8">
        <v>1</v>
      </c>
    </row>
    <row r="70" spans="1:3">
      <c r="A70" s="10" t="s">
        <v>218</v>
      </c>
      <c r="B70" s="8">
        <v>3</v>
      </c>
      <c r="C70" s="8">
        <v>5</v>
      </c>
    </row>
    <row r="71" spans="1:3">
      <c r="A71" s="10" t="s">
        <v>85</v>
      </c>
      <c r="B71" s="8">
        <v>4.3</v>
      </c>
      <c r="C71" s="8">
        <v>7</v>
      </c>
    </row>
    <row r="72" spans="1:3">
      <c r="A72" s="10" t="s">
        <v>63</v>
      </c>
      <c r="B72" s="8">
        <v>5</v>
      </c>
      <c r="C72" s="8">
        <v>3</v>
      </c>
    </row>
    <row r="73" spans="1:3">
      <c r="A73" s="10" t="s">
        <v>50</v>
      </c>
      <c r="B73" s="8">
        <v>4.5</v>
      </c>
      <c r="C73" s="8">
        <v>6</v>
      </c>
    </row>
    <row r="74" spans="1:3">
      <c r="A74" s="10" t="s">
        <v>35</v>
      </c>
      <c r="B74" s="8">
        <v>4.8</v>
      </c>
      <c r="C74" s="8">
        <v>5</v>
      </c>
    </row>
    <row r="75" spans="1:3">
      <c r="A75" s="10" t="s">
        <v>128</v>
      </c>
      <c r="B75" s="8"/>
      <c r="C75" s="8"/>
    </row>
    <row r="76" spans="1:3">
      <c r="A76" s="10" t="s">
        <v>330</v>
      </c>
      <c r="B76" s="8">
        <v>4.3</v>
      </c>
      <c r="C76" s="8">
        <v>9</v>
      </c>
    </row>
    <row r="77" spans="1:3">
      <c r="A77" s="10" t="s">
        <v>329</v>
      </c>
      <c r="B77" s="8">
        <v>4</v>
      </c>
      <c r="C77" s="8">
        <v>6</v>
      </c>
    </row>
    <row r="78" spans="1:3">
      <c r="A78" s="10" t="s">
        <v>307</v>
      </c>
      <c r="B78" s="8"/>
      <c r="C78" s="8"/>
    </row>
    <row r="79" spans="1:3">
      <c r="A79" s="10" t="s">
        <v>66</v>
      </c>
      <c r="B79" s="8">
        <v>4.5999999999999996</v>
      </c>
      <c r="C79" s="8">
        <v>5</v>
      </c>
    </row>
    <row r="80" spans="1:3">
      <c r="A80" s="10" t="s">
        <v>336</v>
      </c>
      <c r="B80" s="8">
        <v>3</v>
      </c>
      <c r="C80" s="8">
        <v>1</v>
      </c>
    </row>
    <row r="81" spans="1:3">
      <c r="A81" s="10" t="s">
        <v>10</v>
      </c>
      <c r="B81" s="8">
        <v>4.0999999999999996</v>
      </c>
      <c r="C81" s="8">
        <v>14</v>
      </c>
    </row>
    <row r="82" spans="1:3">
      <c r="A82" s="10" t="s">
        <v>287</v>
      </c>
      <c r="B82" s="8"/>
      <c r="C82" s="8"/>
    </row>
    <row r="83" spans="1:3">
      <c r="A83" s="10" t="s">
        <v>134</v>
      </c>
      <c r="B83" s="8"/>
      <c r="C83" s="8"/>
    </row>
    <row r="84" spans="1:3">
      <c r="A84" s="10" t="s">
        <v>53</v>
      </c>
      <c r="B84" s="8">
        <v>4.2</v>
      </c>
      <c r="C84" s="8">
        <v>9</v>
      </c>
    </row>
    <row r="85" spans="1:3">
      <c r="A85" s="10" t="s">
        <v>266</v>
      </c>
      <c r="B85" s="8"/>
      <c r="C85" s="8"/>
    </row>
    <row r="86" spans="1:3">
      <c r="A86" s="10" t="s">
        <v>324</v>
      </c>
      <c r="B86" s="8"/>
      <c r="C86" s="8"/>
    </row>
    <row r="87" spans="1:3">
      <c r="A87" s="10" t="s">
        <v>165</v>
      </c>
      <c r="B87" s="8"/>
      <c r="C87" s="8"/>
    </row>
    <row r="88" spans="1:3">
      <c r="A88" s="10" t="s">
        <v>186</v>
      </c>
      <c r="B88" s="8">
        <v>3</v>
      </c>
      <c r="C88" s="8">
        <v>10</v>
      </c>
    </row>
    <row r="89" spans="1:3">
      <c r="A89" s="10" t="s">
        <v>256</v>
      </c>
      <c r="B89" s="8"/>
      <c r="C89" s="8"/>
    </row>
    <row r="90" spans="1:3">
      <c r="A90" s="10" t="s">
        <v>261</v>
      </c>
      <c r="B90" s="8"/>
      <c r="C90" s="8"/>
    </row>
    <row r="91" spans="1:3">
      <c r="A91" s="10" t="s">
        <v>60</v>
      </c>
      <c r="B91" s="8">
        <v>5</v>
      </c>
      <c r="C91" s="8">
        <v>2</v>
      </c>
    </row>
    <row r="92" spans="1:3">
      <c r="A92" s="10" t="s">
        <v>160</v>
      </c>
      <c r="B92" s="8"/>
      <c r="C92" s="8"/>
    </row>
    <row r="93" spans="1:3">
      <c r="A93" s="10" t="s">
        <v>163</v>
      </c>
      <c r="B93" s="8"/>
      <c r="C93" s="8"/>
    </row>
    <row r="94" spans="1:3">
      <c r="A94" s="10" t="s">
        <v>22</v>
      </c>
      <c r="B94" s="8">
        <v>4.8</v>
      </c>
      <c r="C94" s="8">
        <v>5</v>
      </c>
    </row>
    <row r="95" spans="1:3">
      <c r="A95" s="10" t="s">
        <v>14</v>
      </c>
      <c r="B95" s="8">
        <v>4.5999999999999996</v>
      </c>
      <c r="C95" s="8">
        <v>24</v>
      </c>
    </row>
    <row r="96" spans="1:3">
      <c r="A96" s="10" t="s">
        <v>282</v>
      </c>
      <c r="B96" s="8"/>
      <c r="C96" s="8"/>
    </row>
    <row r="97" spans="1:3">
      <c r="A97" s="10" t="s">
        <v>92</v>
      </c>
      <c r="B97" s="8">
        <v>3.8</v>
      </c>
      <c r="C97" s="8">
        <v>12</v>
      </c>
    </row>
    <row r="98" spans="1:3">
      <c r="A98" s="10" t="s">
        <v>272</v>
      </c>
      <c r="B98" s="8"/>
      <c r="C98" s="8"/>
    </row>
    <row r="99" spans="1:3">
      <c r="A99" s="10" t="s">
        <v>122</v>
      </c>
      <c r="B99" s="8">
        <v>4.3</v>
      </c>
      <c r="C99" s="8">
        <v>36</v>
      </c>
    </row>
    <row r="100" spans="1:3">
      <c r="A100" s="10" t="s">
        <v>274</v>
      </c>
      <c r="B100" s="8"/>
      <c r="C100" s="8"/>
    </row>
    <row r="101" spans="1:3">
      <c r="A101" s="10" t="s">
        <v>140</v>
      </c>
      <c r="B101" s="8"/>
      <c r="C101" s="8"/>
    </row>
    <row r="102" spans="1:3">
      <c r="A102" s="10" t="s">
        <v>312</v>
      </c>
      <c r="B102" s="8"/>
      <c r="C102" s="8"/>
    </row>
    <row r="103" spans="1:3">
      <c r="A103" s="10" t="s">
        <v>170</v>
      </c>
      <c r="B103" s="8"/>
      <c r="C103" s="8"/>
    </row>
    <row r="104" spans="1:3">
      <c r="A104" s="10" t="s">
        <v>314</v>
      </c>
      <c r="B104" s="8"/>
      <c r="C104" s="8"/>
    </row>
    <row r="105" spans="1:3">
      <c r="A105" s="10" t="s">
        <v>202</v>
      </c>
      <c r="B105" s="8">
        <v>2.9</v>
      </c>
      <c r="C105" s="8">
        <v>16</v>
      </c>
    </row>
    <row r="106" spans="1:3">
      <c r="A106" s="10" t="s">
        <v>269</v>
      </c>
      <c r="B106" s="8"/>
      <c r="C106" s="8"/>
    </row>
    <row r="107" spans="1:3">
      <c r="A107" s="10" t="s">
        <v>280</v>
      </c>
      <c r="B107" s="8"/>
      <c r="C107" s="8"/>
    </row>
    <row r="108" spans="1:3">
      <c r="A108" s="10" t="s">
        <v>318</v>
      </c>
      <c r="B108" s="8">
        <v>2</v>
      </c>
      <c r="C108" s="8">
        <v>1</v>
      </c>
    </row>
    <row r="109" spans="1:3">
      <c r="A109" s="10" t="s">
        <v>264</v>
      </c>
      <c r="B109" s="8"/>
      <c r="C109" s="8"/>
    </row>
    <row r="110" spans="1:3">
      <c r="A110" s="10" t="s">
        <v>221</v>
      </c>
      <c r="B110" s="8">
        <v>2.2999999999999998</v>
      </c>
      <c r="C110" s="8">
        <v>6</v>
      </c>
    </row>
    <row r="111" spans="1:3">
      <c r="A111" s="10" t="s">
        <v>18</v>
      </c>
      <c r="B111" s="8">
        <v>4.7</v>
      </c>
      <c r="C111" s="8">
        <v>7</v>
      </c>
    </row>
    <row r="112" spans="1:3">
      <c r="A112" s="10" t="s">
        <v>224</v>
      </c>
      <c r="B112" s="8">
        <v>3</v>
      </c>
      <c r="C112" s="8">
        <v>5</v>
      </c>
    </row>
    <row r="113" spans="1:3">
      <c r="A113" s="10" t="s">
        <v>351</v>
      </c>
      <c r="B113" s="8"/>
      <c r="C113" s="8"/>
    </row>
    <row r="114" spans="1:3">
      <c r="A114" s="10" t="s">
        <v>352</v>
      </c>
      <c r="B114" s="8">
        <v>3.8894736842105266</v>
      </c>
      <c r="C114" s="8">
        <v>12.684210526315789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B737-012E-484F-8624-CBEA65C949A0}">
  <dimension ref="A3:B14"/>
  <sheetViews>
    <sheetView workbookViewId="0">
      <selection activeCell="A5" sqref="A5"/>
    </sheetView>
  </sheetViews>
  <sheetFormatPr defaultRowHeight="13.8"/>
  <cols>
    <col min="1" max="1" width="75.59765625" bestFit="1" customWidth="1"/>
    <col min="2" max="2" width="24.3984375" bestFit="1" customWidth="1"/>
  </cols>
  <sheetData>
    <row r="3" spans="1:2">
      <c r="A3" s="9" t="s">
        <v>350</v>
      </c>
      <c r="B3" t="s">
        <v>348</v>
      </c>
    </row>
    <row r="4" spans="1:2">
      <c r="A4" s="10" t="s">
        <v>320</v>
      </c>
      <c r="B4" s="8">
        <v>161</v>
      </c>
    </row>
    <row r="5" spans="1:2">
      <c r="A5" s="10" t="s">
        <v>318</v>
      </c>
      <c r="B5" s="8">
        <v>160</v>
      </c>
    </row>
    <row r="6" spans="1:2">
      <c r="A6" s="10" t="s">
        <v>316</v>
      </c>
      <c r="B6" s="8">
        <v>159</v>
      </c>
    </row>
    <row r="7" spans="1:2">
      <c r="A7" s="10" t="s">
        <v>314</v>
      </c>
      <c r="B7" s="8">
        <v>158</v>
      </c>
    </row>
    <row r="8" spans="1:2">
      <c r="A8" s="10" t="s">
        <v>312</v>
      </c>
      <c r="B8" s="8">
        <v>157</v>
      </c>
    </row>
    <row r="9" spans="1:2">
      <c r="A9" s="10" t="s">
        <v>310</v>
      </c>
      <c r="B9" s="8">
        <v>156</v>
      </c>
    </row>
    <row r="10" spans="1:2">
      <c r="A10" s="10" t="s">
        <v>307</v>
      </c>
      <c r="B10" s="8">
        <v>155</v>
      </c>
    </row>
    <row r="11" spans="1:2">
      <c r="A11" s="10" t="s">
        <v>304</v>
      </c>
      <c r="B11" s="8">
        <v>154</v>
      </c>
    </row>
    <row r="12" spans="1:2">
      <c r="A12" s="10" t="s">
        <v>301</v>
      </c>
      <c r="B12" s="8">
        <v>153</v>
      </c>
    </row>
    <row r="13" spans="1:2">
      <c r="A13" s="10" t="s">
        <v>338</v>
      </c>
      <c r="B13" s="8">
        <v>152</v>
      </c>
    </row>
    <row r="14" spans="1:2">
      <c r="A14" s="10" t="s">
        <v>352</v>
      </c>
      <c r="B14" s="8">
        <v>156.5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E8A3-43F7-4F99-8333-D7BE9556CD70}">
  <dimension ref="A3:B14"/>
  <sheetViews>
    <sheetView workbookViewId="0">
      <selection activeCell="A18" sqref="A18"/>
    </sheetView>
  </sheetViews>
  <sheetFormatPr defaultRowHeight="13.8"/>
  <cols>
    <col min="1" max="1" width="65.09765625" bestFit="1" customWidth="1"/>
    <col min="2" max="2" width="24.296875" bestFit="1" customWidth="1"/>
  </cols>
  <sheetData>
    <row r="3" spans="1:2">
      <c r="A3" s="9" t="s">
        <v>350</v>
      </c>
      <c r="B3" t="s">
        <v>359</v>
      </c>
    </row>
    <row r="4" spans="1:2">
      <c r="A4" s="10" t="s">
        <v>194</v>
      </c>
      <c r="B4" s="8">
        <v>69</v>
      </c>
    </row>
    <row r="5" spans="1:2">
      <c r="A5" s="10" t="s">
        <v>30</v>
      </c>
      <c r="B5" s="8">
        <v>55</v>
      </c>
    </row>
    <row r="6" spans="1:2">
      <c r="A6" s="10" t="s">
        <v>89</v>
      </c>
      <c r="B6" s="8">
        <v>49</v>
      </c>
    </row>
    <row r="7" spans="1:2">
      <c r="A7" s="10" t="s">
        <v>68</v>
      </c>
      <c r="B7" s="8">
        <v>44</v>
      </c>
    </row>
    <row r="8" spans="1:2">
      <c r="A8" s="10" t="s">
        <v>44</v>
      </c>
      <c r="B8" s="8">
        <v>39</v>
      </c>
    </row>
    <row r="9" spans="1:2">
      <c r="A9" s="10" t="s">
        <v>122</v>
      </c>
      <c r="B9" s="8">
        <v>36</v>
      </c>
    </row>
    <row r="10" spans="1:2">
      <c r="A10" s="10" t="s">
        <v>114</v>
      </c>
      <c r="B10" s="8">
        <v>32</v>
      </c>
    </row>
    <row r="11" spans="1:2">
      <c r="A11" s="10" t="s">
        <v>14</v>
      </c>
      <c r="B11" s="8">
        <v>24</v>
      </c>
    </row>
    <row r="12" spans="1:2">
      <c r="A12" s="10" t="s">
        <v>111</v>
      </c>
      <c r="B12" s="8">
        <v>20</v>
      </c>
    </row>
    <row r="13" spans="1:2">
      <c r="A13" s="10" t="s">
        <v>97</v>
      </c>
      <c r="B13" s="8">
        <v>20</v>
      </c>
    </row>
    <row r="14" spans="1:2">
      <c r="A14" s="10" t="s">
        <v>352</v>
      </c>
      <c r="B14" s="8">
        <v>388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5694-AA72-4A80-8C2D-005ECC21E69F}">
  <dimension ref="A3:B11"/>
  <sheetViews>
    <sheetView workbookViewId="0">
      <selection activeCell="A7" sqref="A7"/>
    </sheetView>
  </sheetViews>
  <sheetFormatPr defaultRowHeight="13.8"/>
  <cols>
    <col min="1" max="1" width="66.69921875" bestFit="1" customWidth="1"/>
    <col min="2" max="2" width="29.296875" bestFit="1" customWidth="1"/>
  </cols>
  <sheetData>
    <row r="3" spans="1:2">
      <c r="A3" s="9" t="s">
        <v>350</v>
      </c>
      <c r="B3" t="s">
        <v>349</v>
      </c>
    </row>
    <row r="4" spans="1:2">
      <c r="A4" s="10" t="s">
        <v>56</v>
      </c>
      <c r="B4" s="8">
        <v>5</v>
      </c>
    </row>
    <row r="5" spans="1:2">
      <c r="A5" s="10" t="s">
        <v>245</v>
      </c>
      <c r="B5" s="8">
        <v>5</v>
      </c>
    </row>
    <row r="6" spans="1:2">
      <c r="A6" s="10" t="s">
        <v>120</v>
      </c>
      <c r="B6" s="8">
        <v>5</v>
      </c>
    </row>
    <row r="7" spans="1:2">
      <c r="A7" s="10" t="s">
        <v>331</v>
      </c>
      <c r="B7" s="8">
        <v>5</v>
      </c>
    </row>
    <row r="8" spans="1:2">
      <c r="A8" s="10" t="s">
        <v>337</v>
      </c>
      <c r="B8" s="8">
        <v>5</v>
      </c>
    </row>
    <row r="9" spans="1:2">
      <c r="A9" s="10" t="s">
        <v>63</v>
      </c>
      <c r="B9" s="8">
        <v>5</v>
      </c>
    </row>
    <row r="10" spans="1:2">
      <c r="A10" s="10" t="s">
        <v>60</v>
      </c>
      <c r="B10" s="8">
        <v>5</v>
      </c>
    </row>
    <row r="11" spans="1:2">
      <c r="A11" s="10" t="s">
        <v>352</v>
      </c>
      <c r="B11" s="8">
        <v>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E26A-3635-4E8E-B1C8-1B2AC8196A30}">
  <dimension ref="A3:B9"/>
  <sheetViews>
    <sheetView workbookViewId="0">
      <selection activeCell="A4" sqref="A4"/>
    </sheetView>
  </sheetViews>
  <sheetFormatPr defaultRowHeight="13.8"/>
  <cols>
    <col min="1" max="1" width="70.59765625" bestFit="1" customWidth="1"/>
    <col min="2" max="2" width="26.09765625" bestFit="1" customWidth="1"/>
  </cols>
  <sheetData>
    <row r="3" spans="1:2">
      <c r="A3" s="9" t="s">
        <v>350</v>
      </c>
      <c r="B3" t="s">
        <v>345</v>
      </c>
    </row>
    <row r="4" spans="1:2">
      <c r="A4" s="10" t="s">
        <v>318</v>
      </c>
      <c r="B4" s="8">
        <v>2</v>
      </c>
    </row>
    <row r="5" spans="1:2">
      <c r="A5" s="10" t="s">
        <v>190</v>
      </c>
      <c r="B5" s="8">
        <v>2.1</v>
      </c>
    </row>
    <row r="6" spans="1:2">
      <c r="A6" s="10" t="s">
        <v>335</v>
      </c>
      <c r="B6" s="8">
        <v>2.1</v>
      </c>
    </row>
    <row r="7" spans="1:2">
      <c r="A7" s="10" t="s">
        <v>206</v>
      </c>
      <c r="B7" s="8">
        <v>2.2000000000000002</v>
      </c>
    </row>
    <row r="8" spans="1:2">
      <c r="A8" s="10" t="s">
        <v>334</v>
      </c>
      <c r="B8" s="8">
        <v>2.2000000000000002</v>
      </c>
    </row>
    <row r="9" spans="1:2">
      <c r="A9" s="10" t="s">
        <v>352</v>
      </c>
      <c r="B9" s="8">
        <v>10.600000000000001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D3B7-0C39-46E5-ABBE-9BBA324DF844}">
  <dimension ref="A3:C6"/>
  <sheetViews>
    <sheetView tabSelected="1" workbookViewId="0">
      <selection activeCell="B19" sqref="B19"/>
    </sheetView>
  </sheetViews>
  <sheetFormatPr defaultRowHeight="13.8"/>
  <cols>
    <col min="1" max="1" width="13.3984375" bestFit="1" customWidth="1"/>
    <col min="2" max="2" width="29.296875" bestFit="1" customWidth="1"/>
    <col min="3" max="3" width="27.59765625" bestFit="1" customWidth="1"/>
  </cols>
  <sheetData>
    <row r="3" spans="1:3">
      <c r="A3" s="9" t="s">
        <v>350</v>
      </c>
      <c r="B3" t="s">
        <v>349</v>
      </c>
      <c r="C3" t="s">
        <v>360</v>
      </c>
    </row>
    <row r="4" spans="1:3">
      <c r="A4" s="10" t="s">
        <v>353</v>
      </c>
      <c r="B4" s="8">
        <v>3.8099999999999996</v>
      </c>
      <c r="C4" s="8">
        <v>12.26</v>
      </c>
    </row>
    <row r="5" spans="1:3">
      <c r="A5" s="10" t="s">
        <v>354</v>
      </c>
      <c r="B5" s="8">
        <v>4</v>
      </c>
      <c r="C5" s="8">
        <v>15</v>
      </c>
    </row>
    <row r="6" spans="1:3">
      <c r="A6" s="10" t="s">
        <v>352</v>
      </c>
      <c r="B6" s="8">
        <v>3.8137254901960778</v>
      </c>
      <c r="C6" s="8">
        <v>12.313725490196079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7F25-9D8F-41DA-AA68-B9EF898360F2}">
  <sheetPr>
    <tabColor theme="6" tint="0.39997558519241921"/>
  </sheetPr>
  <dimension ref="A1:O58"/>
  <sheetViews>
    <sheetView showGridLines="0" topLeftCell="A7" workbookViewId="0">
      <selection activeCell="A17" sqref="A17:XFD17"/>
    </sheetView>
  </sheetViews>
  <sheetFormatPr defaultColWidth="9.09765625" defaultRowHeight="13.8"/>
  <cols>
    <col min="1" max="16384" width="9.09765625" style="24"/>
  </cols>
  <sheetData>
    <row r="1" spans="1:14" ht="27.6">
      <c r="A1" s="25" t="s">
        <v>363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4" spans="1:14" ht="21" customHeight="1">
      <c r="A4" s="26" t="s">
        <v>362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34" spans="1:15" ht="21">
      <c r="A34" s="28" t="s">
        <v>364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58" spans="1:15" ht="21">
      <c r="A58" s="30" t="s">
        <v>365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</row>
  </sheetData>
  <mergeCells count="1">
    <mergeCell ref="A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ORIGINAL DATA</vt:lpstr>
      <vt:lpstr>CLEAN DATA</vt:lpstr>
      <vt:lpstr>AVG(DISC,OLD, NEW, PRICE)</vt:lpstr>
      <vt:lpstr>LEAST, MOST EXP</vt:lpstr>
      <vt:lpstr>AVG RATING, DISC, DISC CAT</vt:lpstr>
      <vt:lpstr>PROD, RAT CAT</vt:lpstr>
      <vt:lpstr>DISC VS REVIEW</vt:lpstr>
      <vt:lpstr>RATING VS REVIEWS</vt:lpstr>
      <vt:lpstr>TOP 10 DISC</vt:lpstr>
      <vt:lpstr>TOP 10 REVIEWS</vt:lpstr>
      <vt:lpstr>TOP 5 RATING</vt:lpstr>
      <vt:lpstr>BOTTOM RATING</vt:lpstr>
      <vt:lpstr>DISC-RAT,REV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MUENDO</cp:lastModifiedBy>
  <dcterms:created xsi:type="dcterms:W3CDTF">2026-03-22T19:04:15Z</dcterms:created>
  <dcterms:modified xsi:type="dcterms:W3CDTF">2026-03-25T13:24:14Z</dcterms:modified>
</cp:coreProperties>
</file>